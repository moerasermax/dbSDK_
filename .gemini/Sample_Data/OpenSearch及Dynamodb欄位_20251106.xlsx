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CLIN\Desktop\WorkSpace\測試專案\NO3._dbSDK_Imporve\.gemini\Sample_Data\"/>
    </mc:Choice>
  </mc:AlternateContent>
  <xr:revisionPtr revIDLastSave="0" documentId="13_ncr:1_{970670F3-A7B9-4C57-8B0F-D37BA6183A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penSearch 資料欄位" sheetId="1" r:id="rId1"/>
    <sheet name="dynamoDB資料欄位(Orders)" sheetId="2" r:id="rId2"/>
    <sheet name="dynamoDB資料欄位(User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jhW5qm74bguxmkCzjKpR30UpizsLO7nSb7TkO5D63M="/>
    </ext>
  </extLst>
</workbook>
</file>

<file path=xl/calcChain.xml><?xml version="1.0" encoding="utf-8"?>
<calcChain xmlns="http://schemas.openxmlformats.org/spreadsheetml/2006/main">
  <c r="A10" i="3" l="1"/>
  <c r="A9" i="3"/>
  <c r="A8" i="3"/>
  <c r="A7" i="3"/>
  <c r="A6" i="3"/>
  <c r="A5" i="3"/>
  <c r="A4" i="3"/>
  <c r="A3" i="3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<sst xmlns="http://schemas.openxmlformats.org/spreadsheetml/2006/main" count="887" uniqueCount="370">
  <si>
    <t>資料庫</t>
  </si>
  <si>
    <t>OpenSearch</t>
  </si>
  <si>
    <r>
      <rPr>
        <b/>
        <sz val="10"/>
        <color theme="1"/>
        <rFont val="細明體"/>
        <family val="3"/>
        <charset val="136"/>
      </rPr>
      <t>補充</t>
    </r>
    <r>
      <rPr>
        <b/>
        <sz val="10"/>
        <color theme="1"/>
        <rFont val="Microsoft Yahei"/>
      </rPr>
      <t>說明</t>
    </r>
  </si>
  <si>
    <t>No</t>
  </si>
  <si>
    <t>資料表</t>
  </si>
  <si>
    <t>欄位名稱</t>
  </si>
  <si>
    <t>資料型態</t>
  </si>
  <si>
    <t>資料用途</t>
  </si>
  <si>
    <t>不固定資料</t>
  </si>
  <si>
    <t>第一層欄位名稱</t>
  </si>
  <si>
    <t>第二層欄位名稱</t>
  </si>
  <si>
    <t>欄位行為</t>
  </si>
  <si>
    <t>C_Order_M</t>
  </si>
  <si>
    <t>Coom_No</t>
  </si>
  <si>
    <t>varchar(15)</t>
  </si>
  <si>
    <t>訂單編號</t>
  </si>
  <si>
    <t>coom_no</t>
  </si>
  <si>
    <t>keyword</t>
  </si>
  <si>
    <t>Regexp</t>
  </si>
  <si>
    <t>Coom_Name</t>
  </si>
  <si>
    <t>nvarchar(100)</t>
  </si>
  <si>
    <t>賣場名稱</t>
  </si>
  <si>
    <t>coom_name</t>
  </si>
  <si>
    <t>Wildcard</t>
  </si>
  <si>
    <t>Coom_Status</t>
  </si>
  <si>
    <t>varchar(3)</t>
  </si>
  <si>
    <t>訂單狀態</t>
  </si>
  <si>
    <t>v</t>
  </si>
  <si>
    <t>coom_status</t>
  </si>
  <si>
    <t>Term</t>
  </si>
  <si>
    <t>Coom_Temp_Type</t>
  </si>
  <si>
    <t>varchar(2)</t>
  </si>
  <si>
    <t>溫層</t>
  </si>
  <si>
    <t>coom_temp_type</t>
  </si>
  <si>
    <t>Coom_Create_Datetime</t>
  </si>
  <si>
    <t>datetime</t>
  </si>
  <si>
    <t>訂單日期</t>
  </si>
  <si>
    <t>coom_create_datetime</t>
  </si>
  <si>
    <t>date</t>
  </si>
  <si>
    <t>Range</t>
  </si>
  <si>
    <t>Coom_CuamCid</t>
  </si>
  <si>
    <t>int</t>
  </si>
  <si>
    <t>賣家ID</t>
  </si>
  <si>
    <t>coom_cuam_cid</t>
  </si>
  <si>
    <t>Coom_Rcv_TotalAmt</t>
  </si>
  <si>
    <t>訂單總金額</t>
  </si>
  <si>
    <t>integer</t>
  </si>
  <si>
    <t>GROUP BY</t>
  </si>
  <si>
    <t>20250423退貨便新增(ESAPP需求)</t>
  </si>
  <si>
    <t>C_Order_C</t>
  </si>
  <si>
    <t>Cooc_No</t>
  </si>
  <si>
    <t>購物車主檔ID</t>
  </si>
  <si>
    <t>cooc_no</t>
  </si>
  <si>
    <t>Cooc_Payment_Type</t>
  </si>
  <si>
    <t>付款方式</t>
  </si>
  <si>
    <t>cooc_payment_type</t>
  </si>
  <si>
    <t>Cooc_Payment_PayDatetime</t>
  </si>
  <si>
    <t>付款日期</t>
  </si>
  <si>
    <t>cooc_payment_pay_datetime</t>
  </si>
  <si>
    <t>Cooc_Deliver_Method</t>
  </si>
  <si>
    <t>配送方式</t>
  </si>
  <si>
    <t>cooc_deliver_method</t>
  </si>
  <si>
    <t>Cooc_Ord_Channel_Kind</t>
  </si>
  <si>
    <t>賣場類型</t>
  </si>
  <si>
    <t>cooc_ord_channel_kind</t>
  </si>
  <si>
    <t>Cooc_MemSid</t>
  </si>
  <si>
    <t>買家ID</t>
  </si>
  <si>
    <t>cooc_mem_sid</t>
  </si>
  <si>
    <t>C_Order_D</t>
  </si>
  <si>
    <t>Cood_Name</t>
  </si>
  <si>
    <t>nvarchar(200)</t>
  </si>
  <si>
    <t>商品名稱</t>
  </si>
  <si>
    <t>cood_name</t>
  </si>
  <si>
    <t>E_Shipment_M</t>
  </si>
  <si>
    <t>Esmm_Ship_No</t>
  </si>
  <si>
    <t>varchar(20)</t>
  </si>
  <si>
    <t>配送編號</t>
  </si>
  <si>
    <t>esmm_ship_no</t>
  </si>
  <si>
    <t>Esmm_Status</t>
  </si>
  <si>
    <t>貨態</t>
  </si>
  <si>
    <t>esmm_status</t>
  </si>
  <si>
    <t>Esmm_Rcv_TotalAmt</t>
  </si>
  <si>
    <t>Esmm_LeaveStoreDate_B</t>
  </si>
  <si>
    <t>預計離店日</t>
  </si>
  <si>
    <t>E_Shipment_L</t>
  </si>
  <si>
    <t>Esml_EsmmStatus</t>
  </si>
  <si>
    <t>配送狀態</t>
  </si>
  <si>
    <t>esml_status_shipping_datetime</t>
  </si>
  <si>
    <t>Esml_EsmmStatus為10.已寄件</t>
  </si>
  <si>
    <t>Esml_Status_Datetime</t>
  </si>
  <si>
    <t>配送狀態時間</t>
  </si>
  <si>
    <t>esml_status_finish_datetime</t>
  </si>
  <si>
    <t>Esml_EsmmStatus為30.已取件</t>
  </si>
  <si>
    <t>E_Shipment_S</t>
  </si>
  <si>
    <t>Esms_DlvStatus_No</t>
  </si>
  <si>
    <t>varchar(5)</t>
  </si>
  <si>
    <t>貨態代碼</t>
  </si>
  <si>
    <t>boolean</t>
  </si>
  <si>
    <t>EsmsSCStatusNo為1C02:賣家取貨</t>
  </si>
  <si>
    <t>Esms_SC_Status_No</t>
  </si>
  <si>
    <t>varchar(6)</t>
  </si>
  <si>
    <t>物流公司貨態代碼</t>
  </si>
  <si>
    <t>esms_sc_status_returning</t>
  </si>
  <si>
    <t>EsmsSCStatusNo為161:貨物退回中,303:客樂得貨物退回中</t>
  </si>
  <si>
    <t>C_Question_M</t>
  </si>
  <si>
    <t>Cqtm_Seller_CuamCid</t>
  </si>
  <si>
    <t>會員編號</t>
  </si>
  <si>
    <t>seller_qa_never_reply_count</t>
  </si>
  <si>
    <t>排序</t>
  </si>
  <si>
    <t>依據會員編號的問答狀態增減對應欄位數字</t>
  </si>
  <si>
    <t>Cqtm_Status</t>
  </si>
  <si>
    <t>問答狀態</t>
  </si>
  <si>
    <t>buyer_qa_never_reply_count</t>
  </si>
  <si>
    <t>E_CCDHL</t>
  </si>
  <si>
    <t>Ecdh_Process_Code</t>
  </si>
  <si>
    <t>宅回</t>
  </si>
  <si>
    <t>is_return_shipping</t>
  </si>
  <si>
    <t>Ecdh_Process_Code為SW</t>
  </si>
  <si>
    <t>C_RtnShipment_Apply</t>
  </si>
  <si>
    <t>申請單編號</t>
  </si>
  <si>
    <t>2025401退貨便新增
有資料即為TRUE</t>
  </si>
  <si>
    <t>Coom_CgdmId</t>
  </si>
  <si>
    <t>賣場編號</t>
  </si>
  <si>
    <t>cgdd_cgdmid</t>
  </si>
  <si>
    <t>TopHit</t>
  </si>
  <si>
    <t>20250523退貨便新增(ESAPP需求)
Nested屬性，不可是Object
※依據cood_cgdsid加總cood_qty倒排序，並依據Nested取出同群組中的欄位</t>
  </si>
  <si>
    <t>C_Order_S</t>
  </si>
  <si>
    <t>Cgds_Cgddid</t>
  </si>
  <si>
    <t>CHAR(16)</t>
  </si>
  <si>
    <t>商品編號</t>
  </si>
  <si>
    <t>cgdd_id</t>
  </si>
  <si>
    <t>Cood_CgdsId</t>
  </si>
  <si>
    <t>商品規格編號</t>
  </si>
  <si>
    <t>cood_cgdsid</t>
  </si>
  <si>
    <t>Group By</t>
  </si>
  <si>
    <t>Cood_Qty</t>
  </si>
  <si>
    <t>數量</t>
  </si>
  <si>
    <t>cood_qty</t>
  </si>
  <si>
    <t>Sum</t>
  </si>
  <si>
    <t>Cood_Image_Path</t>
  </si>
  <si>
    <t>varchar(200)</t>
  </si>
  <si>
    <t>訂購子單所屬商品規格編號之主圖位置(含檔名)</t>
  </si>
  <si>
    <t>cood_image_path</t>
  </si>
  <si>
    <t>DynamoDB</t>
  </si>
  <si>
    <t>補充</t>
  </si>
  <si>
    <t>資料庫欄位</t>
  </si>
  <si>
    <t>第一層欄位</t>
  </si>
  <si>
    <t>第二層欄位</t>
  </si>
  <si>
    <t>原資料型態</t>
  </si>
  <si>
    <t>PK
C_Order_M
(訂單主檔)</t>
  </si>
  <si>
    <t>string</t>
  </si>
  <si>
    <t>GLOBAL SECOND KEY
C_Order_C.Cooc_No
(訂單購物檔)</t>
  </si>
  <si>
    <t>C_Order_M
(訂單主檔)</t>
  </si>
  <si>
    <t>Coom_Order_date</t>
  </si>
  <si>
    <t>c_order_m</t>
  </si>
  <si>
    <t>coom_order_date</t>
  </si>
  <si>
    <t>dateTime</t>
  </si>
  <si>
    <t>number</t>
  </si>
  <si>
    <t>Coom_ReChoice_Flag</t>
  </si>
  <si>
    <t>coom_rechoice_flag</t>
  </si>
  <si>
    <t>Coom_MergeList_CoomNo</t>
  </si>
  <si>
    <t>coom_merge_list_coom_no</t>
  </si>
  <si>
    <t>varchar(500)</t>
  </si>
  <si>
    <t>Coom_Seller_Memo</t>
  </si>
  <si>
    <t>coom_seller_memo</t>
  </si>
  <si>
    <t>Coom_Seller_GoodsTotalAmt</t>
  </si>
  <si>
    <t>coom_seller_goods_total_amt</t>
  </si>
  <si>
    <t>Coom_Goods_ItemNum</t>
  </si>
  <si>
    <t>coom_goods_item_num</t>
  </si>
  <si>
    <t>Coom_Goods_TotalNum</t>
  </si>
  <si>
    <t>coom_goods_total_num</t>
  </si>
  <si>
    <t>coom_rcv_total_amt</t>
  </si>
  <si>
    <t>coom_cgdm_id</t>
  </si>
  <si>
    <t>Coom_Ship_PrintFlag</t>
  </si>
  <si>
    <t>coom_ship_print_flag</t>
  </si>
  <si>
    <t>varchar(1)</t>
  </si>
  <si>
    <t>Coom_CccmNo</t>
  </si>
  <si>
    <t>coom_cccm_no</t>
  </si>
  <si>
    <t>C_Order_C
(訂單購物檔)</t>
  </si>
  <si>
    <t>c_order_c</t>
  </si>
  <si>
    <t>Cooc_Create_Datetime</t>
  </si>
  <si>
    <t>cooc_create_datetime</t>
  </si>
  <si>
    <t>Cooc_Payment_Code</t>
  </si>
  <si>
    <t>cooc_payment_code</t>
  </si>
  <si>
    <t>Cooc_Ord_Name_Enc</t>
  </si>
  <si>
    <t>cooc_ord_name_enc</t>
  </si>
  <si>
    <t>nvarchar(500)</t>
  </si>
  <si>
    <t>Cooc_Rcv_Name_Enc</t>
  </si>
  <si>
    <t>cooc_rcv_name_enc</t>
  </si>
  <si>
    <t>Cooc_Rcv_Mobile_Enc</t>
  </si>
  <si>
    <t>cooc_rcv_mobile_enc</t>
  </si>
  <si>
    <t>Cooc_Payment_TradeNo</t>
  </si>
  <si>
    <t>cooc_payment_trade_no</t>
  </si>
  <si>
    <t>Cooc_Payment_Note</t>
  </si>
  <si>
    <t>cooc_payment_note</t>
  </si>
  <si>
    <t>Varchar(30)</t>
  </si>
  <si>
    <t>Cooc_Payment_BankCode</t>
  </si>
  <si>
    <t>cooc_payment_bank_code</t>
  </si>
  <si>
    <t>Varchar(10)</t>
  </si>
  <si>
    <t>Cooc_Payment_Dueday</t>
  </si>
  <si>
    <t>cooc_payment_dueday</t>
  </si>
  <si>
    <t>c_order_d
(訂單明細)</t>
  </si>
  <si>
    <t>c_order_d</t>
  </si>
  <si>
    <t>Cood_Original_Price</t>
  </si>
  <si>
    <t>cood_price</t>
  </si>
  <si>
    <t>Cood_Discount_Price</t>
  </si>
  <si>
    <t>cood_discount_price</t>
  </si>
  <si>
    <t>20251106 頁面需要，沒盤到</t>
  </si>
  <si>
    <t>Cood_Receive_Price</t>
  </si>
  <si>
    <t>cood_receive_price</t>
  </si>
  <si>
    <t>C_Goods_Item
(賣場項目設定檔)</t>
  </si>
  <si>
    <t>Cgdi_Item_Type=4
Cgdi_Item_No=1
Cgdi_Item_Sub=0
Cgdi_Item_Thi=0</t>
  </si>
  <si>
    <t>c_goods_item</t>
  </si>
  <si>
    <t>cgdi_number_column1</t>
  </si>
  <si>
    <t>E_Shipment_M
(貨態主檔)</t>
  </si>
  <si>
    <t>Esmm_No</t>
  </si>
  <si>
    <t>e_shipment_m</t>
  </si>
  <si>
    <t>esmm_no</t>
  </si>
  <si>
    <t>Esmm_Ship_Method</t>
  </si>
  <si>
    <t>esmm_ship_method</t>
  </si>
  <si>
    <t>Esmm_ShipNo_AuthCode</t>
  </si>
  <si>
    <t>esmm_ship_no_auth_code</t>
  </si>
  <si>
    <t>Esmm_Ship_No_A</t>
  </si>
  <si>
    <t>esmm_ship_no_a</t>
  </si>
  <si>
    <t>esmm_leave_store_date_b</t>
  </si>
  <si>
    <t>Date</t>
  </si>
  <si>
    <t>Esmm_IbonApp_Flag</t>
  </si>
  <si>
    <t>esmm_ibon_app_flag</t>
  </si>
  <si>
    <t>VARCHAR(1)</t>
  </si>
  <si>
    <t>Esmm_Odd_Reason</t>
  </si>
  <si>
    <t>esmm_odd_reason</t>
  </si>
  <si>
    <t>Esmm_ConfirmExtPay_Datetime</t>
  </si>
  <si>
    <t>esmm_confirm_extpay_datetime</t>
  </si>
  <si>
    <t>暫無使用</t>
  </si>
  <si>
    <t>C_Question_M
(問答主檔)</t>
  </si>
  <si>
    <t>Cqtm_CuamCid_Kind</t>
  </si>
  <si>
    <t>c_question_m</t>
  </si>
  <si>
    <t>Kind=2</t>
  </si>
  <si>
    <t>Kind=1</t>
  </si>
  <si>
    <t>C_Cancel_M
(取消單主檔)</t>
  </si>
  <si>
    <t>Cccm_Status</t>
  </si>
  <si>
    <t>c_cancel_m</t>
  </si>
  <si>
    <t>cccm_status</t>
  </si>
  <si>
    <t>Cccm_Cancel_People</t>
  </si>
  <si>
    <t>cccm_cancel_people</t>
  </si>
  <si>
    <t>Cccm_Confirm_Datetime</t>
  </si>
  <si>
    <t>cccm_confirm_datetime</t>
  </si>
  <si>
    <t>Cccm_Create_Datetime</t>
  </si>
  <si>
    <t>cccm_create_datetime</t>
  </si>
  <si>
    <t>Cccm_Refund_Flag</t>
  </si>
  <si>
    <t>cccm_refund_flag</t>
  </si>
  <si>
    <t>Cccm_ErfmNo</t>
  </si>
  <si>
    <t>cccm_erfm_no</t>
  </si>
  <si>
    <t>E_Shipment_L
(出貨配送狀態歷程檔)</t>
  </si>
  <si>
    <t>e_shipment_l</t>
  </si>
  <si>
    <t>esml_esmm_status</t>
  </si>
  <si>
    <t>esml_status_datetime</t>
  </si>
  <si>
    <t>e_shipment_s</t>
  </si>
  <si>
    <t>esms_dlv_status_no</t>
  </si>
  <si>
    <t>Esms_Status_Datetime</t>
  </si>
  <si>
    <t>esms_status_datetime</t>
  </si>
  <si>
    <t>E_CCCS
(門市關轉店檔)</t>
  </si>
  <si>
    <t>ECCS_Id</t>
  </si>
  <si>
    <t>e_cccs</t>
  </si>
  <si>
    <t>eccs_id</t>
  </si>
  <si>
    <t>ECCS_Store_Type</t>
  </si>
  <si>
    <t>eccs_store_type</t>
  </si>
  <si>
    <t>char(2)</t>
  </si>
  <si>
    <t>ECCS_ReChoice_StoreStatus</t>
  </si>
  <si>
    <t>eccs_rechoice_store_status</t>
  </si>
  <si>
    <t>ECCS_Create_Datetime</t>
  </si>
  <si>
    <t>eccs_create_datetime</t>
  </si>
  <si>
    <t>E_CCDHL
(店到店退貨包裹待宅配檔)</t>
  </si>
  <si>
    <t>e_ccdhl</t>
  </si>
  <si>
    <t>ecdh_process_code</t>
  </si>
  <si>
    <t>Ecdh_Esmm_No</t>
  </si>
  <si>
    <t>ecdh_esmm_no</t>
  </si>
  <si>
    <t>E_RtnDHL_Apply
(店到店退貨包裹宅資註記回檔)</t>
  </si>
  <si>
    <t>Erda_Apply_Status</t>
  </si>
  <si>
    <t>e_rtn_dhl_apply</t>
  </si>
  <si>
    <t>erda_apply_status</t>
  </si>
  <si>
    <t>PK
C_User_Account_M
(會員主檔)</t>
  </si>
  <si>
    <t>Cuam_Cid</t>
  </si>
  <si>
    <t>cuam_cid</t>
  </si>
  <si>
    <t>C_User_Account_M
(會員主檔)</t>
  </si>
  <si>
    <t>Cuam_Email</t>
  </si>
  <si>
    <t>c_user_account_m</t>
  </si>
  <si>
    <t>cuam_email</t>
  </si>
  <si>
    <t>VARCHAR(500)</t>
  </si>
  <si>
    <t>Cuam_Mobile</t>
  </si>
  <si>
    <t>cuam_mobile</t>
  </si>
  <si>
    <t>order_daytotalcount</t>
  </si>
  <si>
    <t>V</t>
  </si>
  <si>
    <t>C_User_Statistics_M
(會員統計檔)</t>
  </si>
  <si>
    <t>Cusm_Rrcb_Qty</t>
  </si>
  <si>
    <t>c_user_statistics_m</t>
  </si>
  <si>
    <t>cusm_rrcb_qty</t>
  </si>
  <si>
    <t>Cusm_Rcvd_Qty</t>
  </si>
  <si>
    <t>cusm_rcvd_qty</t>
  </si>
  <si>
    <t>C_Goods_M
(賣場主檔)</t>
  </si>
  <si>
    <t>Cgdm_Id</t>
  </si>
  <si>
    <t>c_goods_m</t>
  </si>
  <si>
    <t>cgdm_id</t>
  </si>
  <si>
    <t>CHAR(15)</t>
  </si>
  <si>
    <r>
      <rPr>
        <sz val="10"/>
        <color rgb="FFFF0000"/>
        <rFont val="Arial"/>
      </rPr>
      <t>20250625</t>
    </r>
    <r>
      <rPr>
        <sz val="10"/>
        <color rgb="FFFF0000"/>
        <rFont val="微軟正黑體"/>
        <family val="2"/>
        <charset val="136"/>
      </rPr>
      <t>退貨便新增</t>
    </r>
    <r>
      <rPr>
        <sz val="10"/>
        <color rgb="FFFF0000"/>
        <rFont val="Arial"/>
      </rPr>
      <t>(ESAPP</t>
    </r>
    <r>
      <rPr>
        <sz val="10"/>
        <color rgb="FFFF0000"/>
        <rFont val="微軟正黑體"/>
        <family val="2"/>
        <charset val="136"/>
      </rPr>
      <t>需求</t>
    </r>
    <r>
      <rPr>
        <sz val="10"/>
        <color rgb="FFFF0000"/>
        <rFont val="Arial"/>
      </rPr>
      <t>)</t>
    </r>
  </si>
  <si>
    <t>Cgdm_Update_Datetime</t>
  </si>
  <si>
    <t>cgdm_update_datetime</t>
  </si>
  <si>
    <t>coom_rcv_totalamt</t>
    <phoneticPr fontId="14" type="noConversion"/>
  </si>
  <si>
    <t>crsa_applied</t>
    <phoneticPr fontId="14" type="noConversion"/>
  </si>
  <si>
    <t>cood_name</t>
    <phoneticPr fontId="14" type="noConversion"/>
  </si>
  <si>
    <t>Mongo</t>
    <phoneticPr fontId="14" type="noConversion"/>
  </si>
  <si>
    <t>資料型態</t>
    <phoneticPr fontId="14" type="noConversion"/>
  </si>
  <si>
    <t>Elasticsearch</t>
    <phoneticPr fontId="14" type="noConversion"/>
  </si>
  <si>
    <r>
      <t xml:space="preserve">Elasticsearch </t>
    </r>
    <r>
      <rPr>
        <sz val="10"/>
        <color theme="1"/>
        <rFont val="微軟正黑體"/>
        <family val="2"/>
        <charset val="136"/>
      </rPr>
      <t>資料型態</t>
    </r>
    <phoneticPr fontId="14" type="noConversion"/>
  </si>
  <si>
    <t>coodItems.cgddCgdmid</t>
  </si>
  <si>
    <t>coodItems.cgddId</t>
  </si>
  <si>
    <t>coodItems.coodImagePath</t>
  </si>
  <si>
    <t>coodItems.coodName</t>
  </si>
  <si>
    <t>coodItems.coodQty</t>
  </si>
  <si>
    <t>coodItems.coodCgdsId</t>
    <phoneticPr fontId="14" type="noConversion"/>
  </si>
  <si>
    <t>cooc_deliver_method</t>
    <phoneticPr fontId="14" type="noConversion"/>
  </si>
  <si>
    <t>coocDeliverMethod</t>
    <phoneticPr fontId="14" type="noConversion"/>
  </si>
  <si>
    <t>esmm_ship_no</t>
    <phoneticPr fontId="14" type="noConversion"/>
  </si>
  <si>
    <t>esmmShipNo</t>
    <phoneticPr fontId="14" type="noConversion"/>
  </si>
  <si>
    <t>esmm_leavestoredate_b</t>
    <phoneticPr fontId="14" type="noConversion"/>
  </si>
  <si>
    <t>esmmLeavestoredateB</t>
    <phoneticPr fontId="14" type="noConversion"/>
  </si>
  <si>
    <t>esmm_rcv_totalamt</t>
    <phoneticPr fontId="14" type="noConversion"/>
  </si>
  <si>
    <t>smmRcvTotalAmt</t>
    <phoneticPr fontId="14" type="noConversion"/>
  </si>
  <si>
    <t>coomstatus</t>
    <phoneticPr fontId="14" type="noConversion"/>
  </si>
  <si>
    <t>coomname</t>
    <phoneticPr fontId="14" type="noConversion"/>
  </si>
  <si>
    <t>coomTempType</t>
    <phoneticPr fontId="14" type="noConversion"/>
  </si>
  <si>
    <t>coomCreateDatetime</t>
    <phoneticPr fontId="14" type="noConversion"/>
  </si>
  <si>
    <t>coomCuamCid</t>
    <phoneticPr fontId="14" type="noConversion"/>
  </si>
  <si>
    <t>coomRcvTotalAmt</t>
    <phoneticPr fontId="14" type="noConversion"/>
  </si>
  <si>
    <t>esmlStatusShippingDatetime</t>
    <phoneticPr fontId="14" type="noConversion"/>
  </si>
  <si>
    <t>esms_dlvstatus_seller_pickup</t>
    <phoneticPr fontId="14" type="noConversion"/>
  </si>
  <si>
    <t>esmsDlvstatusSellerPickup</t>
    <phoneticPr fontId="14" type="noConversion"/>
  </si>
  <si>
    <t>esmsScStatusReturning</t>
    <phoneticPr fontId="14" type="noConversion"/>
  </si>
  <si>
    <t>sellerQaNeverReplyCount</t>
    <phoneticPr fontId="14" type="noConversion"/>
  </si>
  <si>
    <t>buyerQaNeverReplyCount</t>
    <phoneticPr fontId="14" type="noConversion"/>
  </si>
  <si>
    <t>cood_items</t>
    <phoneticPr fontId="14" type="noConversion"/>
  </si>
  <si>
    <t>CoodItems</t>
    <phoneticPr fontId="14" type="noConversion"/>
  </si>
  <si>
    <t>coocNo</t>
    <phoneticPr fontId="14" type="noConversion"/>
  </si>
  <si>
    <t>coocPaymentType</t>
    <phoneticPr fontId="14" type="noConversion"/>
  </si>
  <si>
    <t>coocPaymentPayDatetime</t>
    <phoneticPr fontId="14" type="noConversion"/>
  </si>
  <si>
    <t>coocOrdChannelKind</t>
    <phoneticPr fontId="14" type="noConversion"/>
  </si>
  <si>
    <t>coocMemSid</t>
    <phoneticPr fontId="14" type="noConversion"/>
  </si>
  <si>
    <t>coodNames</t>
    <phoneticPr fontId="14" type="noConversion"/>
  </si>
  <si>
    <t>esmlStatusFinishDatetime</t>
    <phoneticPr fontId="14" type="noConversion"/>
  </si>
  <si>
    <t>IsReturnShipping</t>
    <phoneticPr fontId="14" type="noConversion"/>
  </si>
  <si>
    <t>CrsaApplied</t>
    <phoneticPr fontId="14" type="noConversion"/>
  </si>
  <si>
    <t>coomNo</t>
  </si>
  <si>
    <t>Text</t>
    <phoneticPr fontId="14" type="noConversion"/>
  </si>
  <si>
    <t>Number</t>
    <phoneticPr fontId="14" type="noConversion"/>
  </si>
  <si>
    <t>Date</t>
    <phoneticPr fontId="14" type="noConversion"/>
  </si>
  <si>
    <t>Boolean</t>
  </si>
  <si>
    <t>Int32</t>
  </si>
  <si>
    <t>cooc_no</t>
    <phoneticPr fontId="14" type="noConversion"/>
  </si>
  <si>
    <t>備註</t>
  </si>
  <si>
    <t>Unique Index</t>
  </si>
  <si>
    <t>索引名稱</t>
  </si>
  <si>
    <t>對應欄位</t>
  </si>
  <si>
    <t>MongoDB索引設計</t>
  </si>
  <si>
    <t>唯一鍵</t>
  </si>
  <si>
    <t>是</t>
  </si>
  <si>
    <t>coom_no</t>
    <phoneticPr fontId="14" type="noConversion"/>
  </si>
  <si>
    <t>idx_primary_key</t>
    <phoneticPr fontId="14" type="noConversion"/>
  </si>
  <si>
    <t>idx_GSI_Cooc_No</t>
    <phoneticPr fontId="14" type="noConversion"/>
  </si>
  <si>
    <t>coomCuamCid</t>
  </si>
  <si>
    <t>Unique Index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</si>
</sst>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scheme val="minor"/>
    </font>
    <font>
      <sz val="10"/>
      <color theme="1"/>
      <name val="Arial"/>
    </font>
    <font>
      <b/>
      <sz val="10"/>
      <color theme="1"/>
      <name val="Microsoft JhengHei"/>
      <family val="2"/>
      <charset val="136"/>
    </font>
    <font>
      <sz val="12"/>
      <name val="Calibri"/>
    </font>
    <font>
      <b/>
      <sz val="10"/>
      <color theme="1"/>
      <name val="Microsoft Yahei"/>
    </font>
    <font>
      <sz val="10"/>
      <color theme="1"/>
      <name val="MingLiu"/>
      <family val="3"/>
      <charset val="136"/>
    </font>
    <font>
      <sz val="10"/>
      <color theme="1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10"/>
      <color rgb="FFFF0000"/>
      <name val="MingLiu"/>
      <family val="3"/>
      <charset val="136"/>
    </font>
    <font>
      <sz val="10"/>
      <color rgb="FFFF0000"/>
      <name val="Arial"/>
    </font>
    <font>
      <b/>
      <sz val="10"/>
      <color rgb="FFFF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0"/>
      <color theme="1"/>
      <name val="細明體"/>
      <family val="3"/>
      <charset val="136"/>
    </font>
    <font>
      <sz val="10"/>
      <color rgb="FFFF0000"/>
      <name val="微軟正黑體"/>
      <family val="2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12"/>
      <color theme="1"/>
      <name val="Aptos Narrow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924436"/>
        <bgColor indexed="64"/>
      </patternFill>
    </fill>
    <fill>
      <patternFill patternType="solid">
        <fgColor rgb="FFFAE2D5"/>
        <bgColor indexed="64"/>
      </patternFill>
    </fill>
  </fills>
  <borders count="101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left" vertical="center" wrapText="1"/>
    </xf>
    <xf numFmtId="0" fontId="6" fillId="2" borderId="30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left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left" vertical="center" wrapText="1"/>
    </xf>
    <xf numFmtId="0" fontId="6" fillId="3" borderId="27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left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left" vertical="center" wrapText="1"/>
    </xf>
    <xf numFmtId="0" fontId="7" fillId="3" borderId="41" xfId="0" applyFont="1" applyFill="1" applyBorder="1" applyAlignment="1">
      <alignment horizontal="left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left" vertical="center" wrapText="1"/>
    </xf>
    <xf numFmtId="0" fontId="6" fillId="3" borderId="47" xfId="0" applyFont="1" applyFill="1" applyBorder="1" applyAlignment="1">
      <alignment horizontal="left" vertical="center" wrapText="1"/>
    </xf>
    <xf numFmtId="0" fontId="6" fillId="3" borderId="4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left" vertical="center" wrapText="1"/>
    </xf>
    <xf numFmtId="0" fontId="6" fillId="3" borderId="41" xfId="0" applyFont="1" applyFill="1" applyBorder="1" applyAlignment="1">
      <alignment horizontal="left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left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6" fillId="3" borderId="58" xfId="0" applyFont="1" applyFill="1" applyBorder="1" applyAlignment="1">
      <alignment horizontal="left" vertical="center" wrapText="1"/>
    </xf>
    <xf numFmtId="0" fontId="6" fillId="3" borderId="61" xfId="0" applyFont="1" applyFill="1" applyBorder="1" applyAlignment="1">
      <alignment horizontal="left" vertical="center" wrapText="1"/>
    </xf>
    <xf numFmtId="0" fontId="6" fillId="3" borderId="49" xfId="0" applyFont="1" applyFill="1" applyBorder="1" applyAlignment="1">
      <alignment horizontal="left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9" fillId="3" borderId="24" xfId="0" applyFont="1" applyFill="1" applyBorder="1" applyAlignment="1">
      <alignment horizontal="center" wrapText="1"/>
    </xf>
    <xf numFmtId="0" fontId="9" fillId="3" borderId="24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1" fillId="3" borderId="65" xfId="0" applyFont="1" applyFill="1" applyBorder="1" applyAlignment="1">
      <alignment horizontal="left" wrapText="1"/>
    </xf>
    <xf numFmtId="0" fontId="1" fillId="3" borderId="44" xfId="0" applyFont="1" applyFill="1" applyBorder="1" applyAlignment="1">
      <alignment horizontal="left" wrapText="1"/>
    </xf>
    <xf numFmtId="0" fontId="1" fillId="3" borderId="44" xfId="0" applyFont="1" applyFill="1" applyBorder="1" applyAlignment="1">
      <alignment horizontal="center" wrapText="1"/>
    </xf>
    <xf numFmtId="0" fontId="5" fillId="4" borderId="66" xfId="0" applyFont="1" applyFill="1" applyBorder="1" applyAlignment="1">
      <alignment horizontal="left" vertical="center" wrapText="1"/>
    </xf>
    <xf numFmtId="0" fontId="1" fillId="3" borderId="54" xfId="0" applyFont="1" applyFill="1" applyBorder="1" applyAlignment="1">
      <alignment horizontal="left" wrapText="1"/>
    </xf>
    <xf numFmtId="0" fontId="1" fillId="3" borderId="24" xfId="0" applyFont="1" applyFill="1" applyBorder="1" applyAlignment="1">
      <alignment horizontal="left" wrapText="1"/>
    </xf>
    <xf numFmtId="0" fontId="1" fillId="3" borderId="24" xfId="0" applyFont="1" applyFill="1" applyBorder="1" applyAlignment="1">
      <alignment horizontal="center" wrapText="1"/>
    </xf>
    <xf numFmtId="0" fontId="6" fillId="2" borderId="44" xfId="0" applyFont="1" applyFill="1" applyBorder="1" applyAlignment="1">
      <alignment vertical="center" wrapText="1"/>
    </xf>
    <xf numFmtId="0" fontId="6" fillId="3" borderId="65" xfId="0" applyFont="1" applyFill="1" applyBorder="1" applyAlignment="1">
      <alignment horizontal="left" vertical="center" wrapText="1"/>
    </xf>
    <xf numFmtId="0" fontId="6" fillId="3" borderId="44" xfId="0" applyFont="1" applyFill="1" applyBorder="1" applyAlignment="1">
      <alignment horizontal="left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left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6" fillId="3" borderId="7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9" fillId="3" borderId="57" xfId="0" applyFont="1" applyFill="1" applyBorder="1" applyAlignment="1">
      <alignment horizontal="left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9" fillId="3" borderId="57" xfId="0" applyFont="1" applyFill="1" applyBorder="1" applyAlignment="1">
      <alignment horizontal="center" vertical="center" wrapText="1"/>
    </xf>
    <xf numFmtId="0" fontId="7" fillId="3" borderId="7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9" fillId="3" borderId="72" xfId="0" applyFont="1" applyFill="1" applyBorder="1" applyAlignment="1">
      <alignment horizontal="left" vertical="center" wrapText="1"/>
    </xf>
    <xf numFmtId="0" fontId="7" fillId="3" borderId="72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1" fillId="0" borderId="76" xfId="0" applyFont="1" applyBorder="1" applyAlignment="1">
      <alignment wrapText="1"/>
    </xf>
    <xf numFmtId="0" fontId="1" fillId="0" borderId="77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left" vertical="center" wrapText="1"/>
    </xf>
    <xf numFmtId="0" fontId="10" fillId="2" borderId="8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6" fillId="3" borderId="83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4" borderId="58" xfId="0" applyFont="1" applyFill="1" applyBorder="1" applyAlignment="1">
      <alignment horizontal="left" vertical="center" wrapText="1"/>
    </xf>
    <xf numFmtId="0" fontId="10" fillId="2" borderId="82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0" fontId="1" fillId="4" borderId="49" xfId="0" applyFont="1" applyFill="1" applyBorder="1" applyAlignment="1">
      <alignment horizontal="left" vertical="center" wrapText="1"/>
    </xf>
    <xf numFmtId="0" fontId="1" fillId="4" borderId="30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left" vertical="center" wrapText="1"/>
    </xf>
    <xf numFmtId="0" fontId="1" fillId="2" borderId="82" xfId="0" applyFont="1" applyFill="1" applyBorder="1" applyAlignment="1">
      <alignment horizontal="center" vertical="center" wrapText="1"/>
    </xf>
    <xf numFmtId="0" fontId="1" fillId="3" borderId="82" xfId="0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center" vertical="center" wrapText="1"/>
    </xf>
    <xf numFmtId="0" fontId="1" fillId="3" borderId="72" xfId="0" applyFont="1" applyFill="1" applyBorder="1" applyAlignment="1">
      <alignment horizontal="center" vertical="center" wrapText="1"/>
    </xf>
    <xf numFmtId="0" fontId="1" fillId="4" borderId="72" xfId="0" applyFont="1" applyFill="1" applyBorder="1" applyAlignment="1">
      <alignment horizontal="left" vertical="center" wrapText="1"/>
    </xf>
    <xf numFmtId="0" fontId="1" fillId="4" borderId="44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82" xfId="0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left" vertical="center" wrapText="1"/>
    </xf>
    <xf numFmtId="0" fontId="1" fillId="4" borderId="57" xfId="0" applyFont="1" applyFill="1" applyBorder="1" applyAlignment="1">
      <alignment horizontal="left" vertical="center" wrapText="1"/>
    </xf>
    <xf numFmtId="0" fontId="11" fillId="0" borderId="90" xfId="0" applyFont="1" applyBorder="1" applyAlignment="1">
      <alignment vertical="center"/>
    </xf>
    <xf numFmtId="0" fontId="2" fillId="4" borderId="82" xfId="0" applyFont="1" applyFill="1" applyBorder="1" applyAlignment="1">
      <alignment horizontal="center" vertical="center" wrapText="1"/>
    </xf>
    <xf numFmtId="0" fontId="11" fillId="0" borderId="92" xfId="0" applyFont="1" applyBorder="1" applyAlignment="1">
      <alignment vertical="center"/>
    </xf>
    <xf numFmtId="0" fontId="2" fillId="4" borderId="82" xfId="0" applyFont="1" applyFill="1" applyBorder="1" applyAlignment="1">
      <alignment horizontal="left" vertical="center" wrapText="1"/>
    </xf>
    <xf numFmtId="0" fontId="2" fillId="3" borderId="93" xfId="0" applyFont="1" applyFill="1" applyBorder="1" applyAlignment="1">
      <alignment horizontal="center" vertical="center" wrapText="1"/>
    </xf>
    <xf numFmtId="0" fontId="2" fillId="4" borderId="83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left" vertical="center" wrapText="1"/>
    </xf>
    <xf numFmtId="0" fontId="1" fillId="3" borderId="7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95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3" borderId="56" xfId="0" applyFont="1" applyFill="1" applyBorder="1" applyAlignment="1">
      <alignment horizontal="left" vertical="center" wrapText="1"/>
    </xf>
    <xf numFmtId="0" fontId="17" fillId="0" borderId="9" xfId="0" applyFont="1" applyBorder="1" applyAlignment="1">
      <alignment wrapText="1"/>
    </xf>
    <xf numFmtId="0" fontId="1" fillId="5" borderId="82" xfId="0" applyFont="1" applyFill="1" applyBorder="1" applyAlignment="1">
      <alignment horizontal="center" vertical="center" wrapText="1"/>
    </xf>
    <xf numFmtId="0" fontId="6" fillId="5" borderId="8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vertical="center"/>
    </xf>
    <xf numFmtId="0" fontId="19" fillId="8" borderId="99" xfId="0" applyFont="1" applyFill="1" applyBorder="1" applyAlignment="1">
      <alignment vertical="center" wrapText="1"/>
    </xf>
    <xf numFmtId="0" fontId="21" fillId="8" borderId="100" xfId="0" applyFont="1" applyFill="1" applyBorder="1" applyAlignment="1">
      <alignment vertical="center" wrapText="1"/>
    </xf>
    <xf numFmtId="0" fontId="19" fillId="8" borderId="100" xfId="0" applyFont="1" applyFill="1" applyBorder="1" applyAlignment="1">
      <alignment vertical="center" wrapText="1"/>
    </xf>
    <xf numFmtId="0" fontId="19" fillId="9" borderId="99" xfId="0" applyFont="1" applyFill="1" applyBorder="1" applyAlignment="1">
      <alignment vertical="center" wrapText="1"/>
    </xf>
    <xf numFmtId="0" fontId="22" fillId="9" borderId="100" xfId="0" applyFont="1" applyFill="1" applyBorder="1" applyAlignment="1">
      <alignment vertical="center" wrapText="1"/>
    </xf>
    <xf numFmtId="0" fontId="19" fillId="9" borderId="100" xfId="0" applyFont="1" applyFill="1" applyBorder="1" applyAlignment="1">
      <alignment vertical="center" wrapText="1"/>
    </xf>
    <xf numFmtId="0" fontId="20" fillId="7" borderId="55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5" fillId="4" borderId="70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7" fillId="3" borderId="12" xfId="0" applyFont="1" applyFill="1" applyBorder="1" applyAlignment="1">
      <alignment horizontal="left" vertical="center" wrapText="1"/>
    </xf>
    <xf numFmtId="0" fontId="3" fillId="0" borderId="21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8" fillId="4" borderId="70" xfId="0" applyFont="1" applyFill="1" applyBorder="1" applyAlignment="1">
      <alignment horizontal="left" vertical="center" wrapText="1"/>
    </xf>
    <xf numFmtId="0" fontId="3" fillId="0" borderId="74" xfId="0" applyFont="1" applyBorder="1" applyAlignment="1">
      <alignment vertical="center"/>
    </xf>
    <xf numFmtId="0" fontId="2" fillId="3" borderId="7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/>
    </xf>
    <xf numFmtId="0" fontId="15" fillId="0" borderId="98" xfId="0" applyFont="1" applyBorder="1" applyAlignment="1">
      <alignment horizontal="center" vertical="center"/>
    </xf>
    <xf numFmtId="0" fontId="17" fillId="0" borderId="96" xfId="0" applyFont="1" applyBorder="1" applyAlignment="1">
      <alignment horizontal="center" wrapText="1"/>
    </xf>
    <xf numFmtId="0" fontId="17" fillId="0" borderId="97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6" fillId="2" borderId="64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3" fillId="0" borderId="69" xfId="0" applyFont="1" applyBorder="1" applyAlignment="1">
      <alignment vertical="center"/>
    </xf>
    <xf numFmtId="0" fontId="6" fillId="2" borderId="60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6" fillId="2" borderId="59" xfId="0" applyFont="1" applyFill="1" applyBorder="1" applyAlignment="1">
      <alignment horizontal="center" vertical="center" wrapText="1"/>
    </xf>
    <xf numFmtId="0" fontId="3" fillId="0" borderId="62" xfId="0" applyFont="1" applyBorder="1" applyAlignment="1">
      <alignment vertical="center"/>
    </xf>
    <xf numFmtId="0" fontId="15" fillId="0" borderId="9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6" fillId="5" borderId="85" xfId="0" applyFont="1" applyFill="1" applyBorder="1" applyAlignment="1">
      <alignment horizontal="center" vertical="center" wrapText="1"/>
    </xf>
    <xf numFmtId="0" fontId="3" fillId="6" borderId="88" xfId="0" applyFont="1" applyFill="1" applyBorder="1" applyAlignment="1">
      <alignment vertical="center"/>
    </xf>
    <xf numFmtId="0" fontId="0" fillId="0" borderId="92" xfId="0" applyBorder="1" applyAlignment="1">
      <alignment horizontal="center" vertical="center"/>
    </xf>
    <xf numFmtId="0" fontId="3" fillId="6" borderId="86" xfId="0" applyFont="1" applyFill="1" applyBorder="1" applyAlignment="1">
      <alignment vertical="center"/>
    </xf>
    <xf numFmtId="0" fontId="6" fillId="5" borderId="84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vertical="center"/>
    </xf>
    <xf numFmtId="0" fontId="3" fillId="6" borderId="38" xfId="0" applyFont="1" applyFill="1" applyBorder="1" applyAlignment="1">
      <alignment vertical="center"/>
    </xf>
    <xf numFmtId="0" fontId="6" fillId="2" borderId="85" xfId="0" applyFont="1" applyFill="1" applyBorder="1" applyAlignment="1">
      <alignment horizontal="center" vertical="center" wrapText="1"/>
    </xf>
    <xf numFmtId="0" fontId="3" fillId="0" borderId="86" xfId="0" applyFont="1" applyBorder="1" applyAlignment="1">
      <alignment vertical="center"/>
    </xf>
    <xf numFmtId="0" fontId="3" fillId="0" borderId="87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3" fillId="0" borderId="88" xfId="0" applyFont="1" applyBorder="1" applyAlignment="1">
      <alignment vertical="center"/>
    </xf>
    <xf numFmtId="0" fontId="6" fillId="3" borderId="85" xfId="0" applyFont="1" applyFill="1" applyBorder="1" applyAlignment="1">
      <alignment horizontal="center" vertical="center" wrapText="1"/>
    </xf>
    <xf numFmtId="0" fontId="6" fillId="2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3" fillId="0" borderId="79" xfId="0" applyFont="1" applyBorder="1" applyAlignment="1">
      <alignment vertical="center"/>
    </xf>
    <xf numFmtId="0" fontId="2" fillId="3" borderId="78" xfId="0" applyFont="1" applyFill="1" applyBorder="1" applyAlignment="1">
      <alignment horizontal="center" vertical="center" wrapText="1"/>
    </xf>
    <xf numFmtId="0" fontId="3" fillId="0" borderId="80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6" fillId="3" borderId="85" xfId="0" applyFont="1" applyFill="1" applyBorder="1" applyAlignment="1">
      <alignment horizontal="left" vertical="center" wrapText="1"/>
    </xf>
    <xf numFmtId="0" fontId="9" fillId="4" borderId="85" xfId="0" applyFont="1" applyFill="1" applyBorder="1" applyAlignment="1">
      <alignment horizontal="left" vertical="center" wrapText="1"/>
    </xf>
    <xf numFmtId="0" fontId="3" fillId="0" borderId="91" xfId="0" applyFont="1" applyBorder="1" applyAlignment="1">
      <alignment vertical="center"/>
    </xf>
    <xf numFmtId="0" fontId="3" fillId="0" borderId="94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4"/>
  <sheetViews>
    <sheetView topLeftCell="A20" zoomScale="85" zoomScaleNormal="85" workbookViewId="0">
      <selection activeCell="E51" sqref="E51"/>
    </sheetView>
  </sheetViews>
  <sheetFormatPr defaultColWidth="11.25" defaultRowHeight="15" customHeight="1"/>
  <cols>
    <col min="1" max="1" width="6.375" customWidth="1"/>
    <col min="2" max="2" width="13.25" customWidth="1"/>
    <col min="3" max="3" width="17" customWidth="1"/>
    <col min="4" max="4" width="8.5" customWidth="1"/>
    <col min="5" max="5" width="19.375" customWidth="1"/>
    <col min="6" max="6" width="6.625" customWidth="1"/>
    <col min="7" max="7" width="17.625" customWidth="1"/>
    <col min="8" max="8" width="25.625" customWidth="1"/>
    <col min="9" max="9" width="33.5" customWidth="1"/>
    <col min="10" max="10" width="4.5" bestFit="1" customWidth="1"/>
    <col min="11" max="11" width="15.875" customWidth="1"/>
    <col min="12" max="12" width="34.25" customWidth="1"/>
    <col min="13" max="13" width="24.875" customWidth="1"/>
    <col min="14" max="14" width="25.875" bestFit="1" customWidth="1"/>
    <col min="15" max="15" width="18.125" customWidth="1"/>
    <col min="16" max="16" width="17.5" customWidth="1"/>
    <col min="17" max="17" width="34.375" bestFit="1" customWidth="1"/>
    <col min="18" max="25" width="6.75" customWidth="1"/>
  </cols>
  <sheetData>
    <row r="1" spans="1:25" ht="17.25" thickBot="1">
      <c r="A1" s="1"/>
      <c r="B1" s="238" t="s">
        <v>0</v>
      </c>
      <c r="C1" s="239"/>
      <c r="D1" s="239"/>
      <c r="E1" s="239"/>
      <c r="F1" s="240"/>
      <c r="G1" s="224" t="s">
        <v>1</v>
      </c>
      <c r="H1" s="225"/>
      <c r="I1" s="225"/>
      <c r="J1" s="2"/>
      <c r="K1" s="3"/>
      <c r="L1" s="4" t="s">
        <v>2</v>
      </c>
      <c r="M1" s="228" t="s">
        <v>312</v>
      </c>
      <c r="N1" s="229"/>
      <c r="O1" s="230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7.75" thickBo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9" t="s">
        <v>9</v>
      </c>
      <c r="H2" s="9" t="s">
        <v>10</v>
      </c>
      <c r="I2" s="9" t="s">
        <v>311</v>
      </c>
      <c r="J2" s="9"/>
      <c r="K2" s="9" t="s">
        <v>11</v>
      </c>
      <c r="L2" s="10"/>
      <c r="M2" s="5" t="s">
        <v>9</v>
      </c>
      <c r="N2" s="6" t="s">
        <v>10</v>
      </c>
      <c r="O2" s="204" t="s">
        <v>313</v>
      </c>
      <c r="P2" s="6" t="s">
        <v>358</v>
      </c>
      <c r="Q2" s="6"/>
      <c r="R2" s="6"/>
      <c r="S2" s="6"/>
      <c r="T2" s="6"/>
      <c r="U2" s="6"/>
      <c r="V2" s="6"/>
      <c r="W2" s="6"/>
      <c r="X2" s="6"/>
      <c r="Y2" s="6"/>
    </row>
    <row r="3" spans="1:25" ht="27.75" thickBot="1">
      <c r="A3" s="11">
        <f t="shared" ref="A3:A34" si="0">ROW()-2</f>
        <v>1</v>
      </c>
      <c r="B3" s="233" t="s">
        <v>12</v>
      </c>
      <c r="C3" s="12" t="s">
        <v>13</v>
      </c>
      <c r="D3" s="13" t="s">
        <v>14</v>
      </c>
      <c r="E3" s="14" t="s">
        <v>15</v>
      </c>
      <c r="F3" s="15"/>
      <c r="G3" s="16" t="s">
        <v>16</v>
      </c>
      <c r="H3" s="17"/>
      <c r="I3" s="18" t="s">
        <v>17</v>
      </c>
      <c r="J3" s="19">
        <v>15</v>
      </c>
      <c r="K3" s="20" t="s">
        <v>18</v>
      </c>
      <c r="L3" s="21"/>
      <c r="M3" s="202" t="s">
        <v>351</v>
      </c>
      <c r="N3" s="6"/>
      <c r="O3" s="204" t="s">
        <v>352</v>
      </c>
      <c r="P3" s="6" t="s">
        <v>359</v>
      </c>
      <c r="R3" s="6"/>
      <c r="S3" s="6"/>
      <c r="T3" s="6"/>
      <c r="U3" s="6"/>
      <c r="V3" s="6"/>
      <c r="W3" s="6"/>
      <c r="X3" s="6"/>
      <c r="Y3" s="6"/>
    </row>
    <row r="4" spans="1:25" ht="27.75" thickBot="1">
      <c r="A4" s="22">
        <f t="shared" si="0"/>
        <v>2</v>
      </c>
      <c r="B4" s="220"/>
      <c r="C4" s="23" t="s">
        <v>19</v>
      </c>
      <c r="D4" s="24" t="s">
        <v>20</v>
      </c>
      <c r="E4" s="25" t="s">
        <v>21</v>
      </c>
      <c r="F4" s="26"/>
      <c r="G4" s="27" t="s">
        <v>22</v>
      </c>
      <c r="H4" s="28"/>
      <c r="I4" s="29" t="s">
        <v>17</v>
      </c>
      <c r="J4" s="30">
        <v>100</v>
      </c>
      <c r="K4" s="31" t="s">
        <v>23</v>
      </c>
      <c r="L4" s="32"/>
      <c r="M4" s="202" t="s">
        <v>329</v>
      </c>
      <c r="N4" s="6"/>
      <c r="O4" s="204" t="s">
        <v>352</v>
      </c>
      <c r="P4" s="6"/>
      <c r="R4" s="6"/>
      <c r="S4" s="6"/>
      <c r="T4" s="6"/>
      <c r="U4" s="6"/>
      <c r="V4" s="6"/>
      <c r="W4" s="6"/>
      <c r="X4" s="6"/>
      <c r="Y4" s="6"/>
    </row>
    <row r="5" spans="1:25" ht="16.5" thickBot="1">
      <c r="A5" s="22">
        <f t="shared" si="0"/>
        <v>3</v>
      </c>
      <c r="B5" s="220"/>
      <c r="C5" s="33" t="s">
        <v>24</v>
      </c>
      <c r="D5" s="34" t="s">
        <v>25</v>
      </c>
      <c r="E5" s="25" t="s">
        <v>26</v>
      </c>
      <c r="F5" s="35" t="s">
        <v>27</v>
      </c>
      <c r="G5" s="27" t="s">
        <v>28</v>
      </c>
      <c r="H5" s="36"/>
      <c r="I5" s="29" t="s">
        <v>17</v>
      </c>
      <c r="J5" s="37">
        <v>3</v>
      </c>
      <c r="K5" s="38" t="s">
        <v>29</v>
      </c>
      <c r="L5" s="21"/>
      <c r="M5" s="202" t="s">
        <v>328</v>
      </c>
      <c r="N5" s="6"/>
      <c r="O5" s="204" t="s">
        <v>352</v>
      </c>
      <c r="P5" s="6"/>
      <c r="R5" s="6"/>
      <c r="S5" s="6"/>
      <c r="T5" s="6"/>
      <c r="U5" s="6"/>
      <c r="V5" s="6"/>
      <c r="W5" s="6"/>
      <c r="X5" s="6"/>
      <c r="Y5" s="6"/>
    </row>
    <row r="6" spans="1:25" ht="16.5" thickBot="1">
      <c r="A6" s="22">
        <f t="shared" si="0"/>
        <v>4</v>
      </c>
      <c r="B6" s="220"/>
      <c r="C6" s="33" t="s">
        <v>30</v>
      </c>
      <c r="D6" s="39" t="s">
        <v>31</v>
      </c>
      <c r="E6" s="40" t="s">
        <v>32</v>
      </c>
      <c r="F6" s="41"/>
      <c r="G6" s="42" t="s">
        <v>33</v>
      </c>
      <c r="H6" s="36"/>
      <c r="I6" s="30" t="s">
        <v>17</v>
      </c>
      <c r="J6" s="43">
        <v>2</v>
      </c>
      <c r="K6" s="31" t="s">
        <v>29</v>
      </c>
      <c r="L6" s="44"/>
      <c r="M6" s="202" t="s">
        <v>330</v>
      </c>
      <c r="N6" s="6"/>
      <c r="O6" s="204" t="s">
        <v>352</v>
      </c>
      <c r="P6" s="6"/>
      <c r="R6" s="6"/>
      <c r="S6" s="6"/>
      <c r="T6" s="6"/>
      <c r="U6" s="6"/>
      <c r="V6" s="6"/>
      <c r="W6" s="6"/>
      <c r="X6" s="6"/>
      <c r="Y6" s="6"/>
    </row>
    <row r="7" spans="1:25" ht="27.75" thickBot="1">
      <c r="A7" s="22">
        <f t="shared" si="0"/>
        <v>5</v>
      </c>
      <c r="B7" s="220"/>
      <c r="C7" s="45" t="s">
        <v>34</v>
      </c>
      <c r="D7" s="24" t="s">
        <v>35</v>
      </c>
      <c r="E7" s="14" t="s">
        <v>36</v>
      </c>
      <c r="F7" s="26"/>
      <c r="G7" s="46" t="s">
        <v>37</v>
      </c>
      <c r="H7" s="47"/>
      <c r="I7" s="29" t="s">
        <v>38</v>
      </c>
      <c r="J7" s="48"/>
      <c r="K7" s="49" t="s">
        <v>39</v>
      </c>
      <c r="L7" s="44"/>
      <c r="M7" s="202" t="s">
        <v>331</v>
      </c>
      <c r="N7" s="6"/>
      <c r="O7" s="204" t="s">
        <v>354</v>
      </c>
      <c r="P7" s="6"/>
      <c r="R7" s="6"/>
      <c r="S7" s="6"/>
      <c r="T7" s="6"/>
      <c r="U7" s="6"/>
      <c r="V7" s="6"/>
      <c r="W7" s="6"/>
      <c r="X7" s="6"/>
      <c r="Y7" s="6"/>
    </row>
    <row r="8" spans="1:25" ht="16.5" thickBot="1">
      <c r="A8" s="22">
        <f t="shared" si="0"/>
        <v>6</v>
      </c>
      <c r="B8" s="220"/>
      <c r="C8" s="50" t="s">
        <v>40</v>
      </c>
      <c r="D8" s="39" t="s">
        <v>41</v>
      </c>
      <c r="E8" s="40" t="s">
        <v>42</v>
      </c>
      <c r="F8" s="51"/>
      <c r="G8" s="52" t="s">
        <v>43</v>
      </c>
      <c r="H8" s="28"/>
      <c r="I8" s="53" t="s">
        <v>17</v>
      </c>
      <c r="J8" s="37">
        <v>48</v>
      </c>
      <c r="K8" s="38" t="s">
        <v>29</v>
      </c>
      <c r="L8" s="44"/>
      <c r="M8" s="202" t="s">
        <v>332</v>
      </c>
      <c r="N8" s="6"/>
      <c r="O8" s="204" t="s">
        <v>352</v>
      </c>
      <c r="P8" s="6"/>
      <c r="R8" s="6"/>
      <c r="S8" s="6"/>
      <c r="T8" s="6"/>
      <c r="U8" s="6"/>
      <c r="V8" s="6"/>
      <c r="W8" s="6"/>
      <c r="X8" s="6"/>
      <c r="Y8" s="6"/>
    </row>
    <row r="9" spans="1:25" ht="16.5" thickBot="1">
      <c r="A9" s="22">
        <f t="shared" si="0"/>
        <v>7</v>
      </c>
      <c r="B9" s="221"/>
      <c r="C9" s="54" t="s">
        <v>44</v>
      </c>
      <c r="D9" s="55" t="s">
        <v>41</v>
      </c>
      <c r="E9" s="56" t="s">
        <v>45</v>
      </c>
      <c r="F9" s="57"/>
      <c r="G9" s="58" t="s">
        <v>307</v>
      </c>
      <c r="H9" s="59"/>
      <c r="I9" s="60" t="s">
        <v>46</v>
      </c>
      <c r="J9" s="61"/>
      <c r="K9" s="62" t="s">
        <v>47</v>
      </c>
      <c r="L9" s="63" t="s">
        <v>48</v>
      </c>
      <c r="M9" s="202" t="s">
        <v>333</v>
      </c>
      <c r="N9" s="6"/>
      <c r="O9" s="204" t="s">
        <v>353</v>
      </c>
      <c r="P9" s="6"/>
      <c r="R9" s="6"/>
      <c r="S9" s="6"/>
      <c r="T9" s="6"/>
      <c r="U9" s="6"/>
      <c r="V9" s="6"/>
      <c r="W9" s="6"/>
      <c r="X9" s="6"/>
      <c r="Y9" s="6"/>
    </row>
    <row r="10" spans="1:25" ht="27.75" thickBot="1">
      <c r="A10" s="22">
        <f t="shared" si="0"/>
        <v>8</v>
      </c>
      <c r="B10" s="233" t="s">
        <v>49</v>
      </c>
      <c r="C10" s="64" t="s">
        <v>50</v>
      </c>
      <c r="D10" s="13" t="s">
        <v>14</v>
      </c>
      <c r="E10" s="65" t="s">
        <v>51</v>
      </c>
      <c r="F10" s="15"/>
      <c r="G10" s="66" t="s">
        <v>52</v>
      </c>
      <c r="H10" s="67"/>
      <c r="I10" s="68" t="s">
        <v>17</v>
      </c>
      <c r="J10" s="69">
        <v>15</v>
      </c>
      <c r="K10" s="20" t="s">
        <v>18</v>
      </c>
      <c r="L10" s="70"/>
      <c r="M10" s="202" t="s">
        <v>342</v>
      </c>
      <c r="N10" s="6"/>
      <c r="O10" s="204" t="s">
        <v>352</v>
      </c>
      <c r="P10" s="6"/>
      <c r="R10" s="6"/>
      <c r="S10" s="6"/>
      <c r="T10" s="6"/>
      <c r="U10" s="6"/>
      <c r="V10" s="6"/>
      <c r="W10" s="6"/>
      <c r="X10" s="6"/>
      <c r="Y10" s="6"/>
    </row>
    <row r="11" spans="1:25" ht="16.5" thickBot="1">
      <c r="A11" s="22">
        <f t="shared" si="0"/>
        <v>9</v>
      </c>
      <c r="B11" s="220"/>
      <c r="C11" s="33" t="s">
        <v>53</v>
      </c>
      <c r="D11" s="25" t="s">
        <v>31</v>
      </c>
      <c r="E11" s="39" t="s">
        <v>54</v>
      </c>
      <c r="F11" s="51"/>
      <c r="G11" s="71" t="s">
        <v>55</v>
      </c>
      <c r="H11" s="36"/>
      <c r="I11" s="30" t="s">
        <v>17</v>
      </c>
      <c r="J11" s="37">
        <v>2</v>
      </c>
      <c r="K11" s="38" t="s">
        <v>29</v>
      </c>
      <c r="L11" s="21"/>
      <c r="M11" s="202" t="s">
        <v>343</v>
      </c>
      <c r="N11" s="6"/>
      <c r="O11" s="204" t="s">
        <v>352</v>
      </c>
      <c r="P11" s="6"/>
      <c r="R11" s="6"/>
      <c r="S11" s="6"/>
      <c r="T11" s="6"/>
      <c r="U11" s="6"/>
      <c r="V11" s="6"/>
      <c r="W11" s="6"/>
      <c r="X11" s="6"/>
      <c r="Y11" s="6"/>
    </row>
    <row r="12" spans="1:25" ht="27.75" thickBot="1">
      <c r="A12" s="22">
        <f t="shared" si="0"/>
        <v>10</v>
      </c>
      <c r="B12" s="220"/>
      <c r="C12" s="33" t="s">
        <v>56</v>
      </c>
      <c r="D12" s="40" t="s">
        <v>35</v>
      </c>
      <c r="E12" s="24" t="s">
        <v>57</v>
      </c>
      <c r="F12" s="35" t="s">
        <v>27</v>
      </c>
      <c r="G12" s="72" t="s">
        <v>58</v>
      </c>
      <c r="H12" s="28"/>
      <c r="I12" s="48" t="s">
        <v>38</v>
      </c>
      <c r="J12" s="73"/>
      <c r="K12" s="38" t="s">
        <v>39</v>
      </c>
      <c r="L12" s="44"/>
      <c r="M12" s="202" t="s">
        <v>344</v>
      </c>
      <c r="N12" s="6"/>
      <c r="O12" s="204" t="s">
        <v>354</v>
      </c>
      <c r="P12" s="6"/>
      <c r="R12" s="6"/>
      <c r="S12" s="6"/>
      <c r="T12" s="6"/>
      <c r="U12" s="6"/>
      <c r="V12" s="6"/>
      <c r="W12" s="6"/>
      <c r="X12" s="6"/>
      <c r="Y12" s="6"/>
    </row>
    <row r="13" spans="1:25" ht="27.75" thickBot="1">
      <c r="A13" s="22">
        <f t="shared" si="0"/>
        <v>11</v>
      </c>
      <c r="B13" s="220"/>
      <c r="C13" s="74" t="s">
        <v>59</v>
      </c>
      <c r="D13" s="75" t="s">
        <v>31</v>
      </c>
      <c r="E13" s="39" t="s">
        <v>60</v>
      </c>
      <c r="F13" s="51"/>
      <c r="G13" s="76" t="s">
        <v>320</v>
      </c>
      <c r="H13" s="77"/>
      <c r="I13" s="30" t="s">
        <v>17</v>
      </c>
      <c r="J13" s="78">
        <v>2</v>
      </c>
      <c r="K13" s="38" t="s">
        <v>29</v>
      </c>
      <c r="L13" s="44"/>
      <c r="M13" s="202" t="s">
        <v>321</v>
      </c>
      <c r="N13" s="6"/>
      <c r="O13" s="204" t="s">
        <v>352</v>
      </c>
      <c r="P13" s="6"/>
      <c r="R13" s="6"/>
      <c r="S13" s="6"/>
      <c r="T13" s="6"/>
      <c r="U13" s="6"/>
      <c r="V13" s="6"/>
      <c r="W13" s="6"/>
      <c r="X13" s="6"/>
      <c r="Y13" s="6"/>
    </row>
    <row r="14" spans="1:25" ht="27.75" thickBot="1">
      <c r="A14" s="22">
        <f t="shared" si="0"/>
        <v>12</v>
      </c>
      <c r="B14" s="220"/>
      <c r="C14" s="79" t="s">
        <v>62</v>
      </c>
      <c r="D14" s="39" t="s">
        <v>31</v>
      </c>
      <c r="E14" s="40" t="s">
        <v>63</v>
      </c>
      <c r="F14" s="41"/>
      <c r="G14" s="72" t="s">
        <v>64</v>
      </c>
      <c r="H14" s="28"/>
      <c r="I14" s="30" t="s">
        <v>17</v>
      </c>
      <c r="J14" s="48">
        <v>2</v>
      </c>
      <c r="K14" s="31" t="s">
        <v>29</v>
      </c>
      <c r="L14" s="44"/>
      <c r="M14" s="202" t="s">
        <v>345</v>
      </c>
      <c r="N14" s="6"/>
      <c r="O14" s="204" t="s">
        <v>352</v>
      </c>
      <c r="P14" s="6"/>
      <c r="R14" s="6"/>
      <c r="S14" s="6"/>
      <c r="T14" s="6"/>
      <c r="U14" s="6"/>
      <c r="V14" s="6"/>
      <c r="W14" s="6"/>
      <c r="X14" s="6"/>
      <c r="Y14" s="6"/>
    </row>
    <row r="15" spans="1:25" ht="16.5" thickBot="1">
      <c r="A15" s="22">
        <f t="shared" si="0"/>
        <v>13</v>
      </c>
      <c r="B15" s="241"/>
      <c r="C15" s="79" t="s">
        <v>65</v>
      </c>
      <c r="D15" s="80" t="s">
        <v>41</v>
      </c>
      <c r="E15" s="25" t="s">
        <v>66</v>
      </c>
      <c r="F15" s="81"/>
      <c r="G15" s="82" t="s">
        <v>67</v>
      </c>
      <c r="H15" s="83"/>
      <c r="I15" s="84" t="s">
        <v>17</v>
      </c>
      <c r="J15" s="84">
        <v>48</v>
      </c>
      <c r="K15" s="85" t="s">
        <v>29</v>
      </c>
      <c r="L15" s="44"/>
      <c r="M15" s="202" t="s">
        <v>346</v>
      </c>
      <c r="N15" s="6"/>
      <c r="O15" s="204" t="s">
        <v>352</v>
      </c>
      <c r="P15" s="6"/>
      <c r="R15" s="6"/>
      <c r="S15" s="6"/>
      <c r="T15" s="6"/>
      <c r="U15" s="6"/>
      <c r="V15" s="6"/>
      <c r="W15" s="6"/>
      <c r="X15" s="6"/>
      <c r="Y15" s="6"/>
    </row>
    <row r="16" spans="1:25" ht="27.75" thickBot="1">
      <c r="A16" s="86">
        <f t="shared" si="0"/>
        <v>14</v>
      </c>
      <c r="B16" s="87" t="s">
        <v>68</v>
      </c>
      <c r="C16" s="88" t="s">
        <v>69</v>
      </c>
      <c r="D16" s="89" t="s">
        <v>70</v>
      </c>
      <c r="E16" s="89" t="s">
        <v>71</v>
      </c>
      <c r="F16" s="90"/>
      <c r="G16" s="91" t="s">
        <v>309</v>
      </c>
      <c r="H16" s="92"/>
      <c r="I16" s="43" t="s">
        <v>17</v>
      </c>
      <c r="J16" s="43">
        <v>200</v>
      </c>
      <c r="K16" s="19" t="s">
        <v>23</v>
      </c>
      <c r="L16" s="10"/>
      <c r="M16" s="202" t="s">
        <v>347</v>
      </c>
      <c r="N16" s="6"/>
      <c r="O16" s="204" t="s">
        <v>352</v>
      </c>
      <c r="P16" s="6"/>
      <c r="R16" s="6"/>
      <c r="S16" s="6"/>
      <c r="T16" s="6"/>
      <c r="U16" s="6"/>
      <c r="V16" s="6"/>
      <c r="W16" s="6"/>
      <c r="X16" s="6"/>
      <c r="Y16" s="6"/>
    </row>
    <row r="17" spans="1:25" ht="27.75" thickBot="1">
      <c r="A17" s="86">
        <f t="shared" si="0"/>
        <v>15</v>
      </c>
      <c r="B17" s="242" t="s">
        <v>73</v>
      </c>
      <c r="C17" s="74" t="s">
        <v>74</v>
      </c>
      <c r="D17" s="75" t="s">
        <v>75</v>
      </c>
      <c r="E17" s="75" t="s">
        <v>76</v>
      </c>
      <c r="F17" s="236" t="s">
        <v>27</v>
      </c>
      <c r="G17" s="93" t="s">
        <v>322</v>
      </c>
      <c r="H17" s="94"/>
      <c r="I17" s="68" t="s">
        <v>17</v>
      </c>
      <c r="J17" s="68">
        <v>20</v>
      </c>
      <c r="K17" s="18" t="s">
        <v>18</v>
      </c>
      <c r="L17" s="70"/>
      <c r="M17" s="202" t="s">
        <v>323</v>
      </c>
      <c r="O17" s="204" t="s">
        <v>352</v>
      </c>
      <c r="P17" s="6"/>
      <c r="R17" s="6"/>
      <c r="S17" s="6"/>
      <c r="T17" s="6"/>
      <c r="U17" s="6"/>
      <c r="V17" s="6"/>
      <c r="W17" s="6"/>
      <c r="X17" s="6"/>
      <c r="Y17" s="6"/>
    </row>
    <row r="18" spans="1:25" ht="16.5" thickBot="1">
      <c r="A18" s="86">
        <f t="shared" si="0"/>
        <v>16</v>
      </c>
      <c r="B18" s="220"/>
      <c r="C18" s="33" t="s">
        <v>78</v>
      </c>
      <c r="D18" s="40" t="s">
        <v>31</v>
      </c>
      <c r="E18" s="40" t="s">
        <v>79</v>
      </c>
      <c r="F18" s="243"/>
      <c r="G18" s="72" t="s">
        <v>80</v>
      </c>
      <c r="H18" s="36"/>
      <c r="I18" s="37" t="s">
        <v>17</v>
      </c>
      <c r="J18" s="37">
        <v>2</v>
      </c>
      <c r="K18" s="29" t="s">
        <v>29</v>
      </c>
      <c r="L18" s="21"/>
      <c r="M18" s="202" t="s">
        <v>327</v>
      </c>
      <c r="O18" s="204" t="s">
        <v>352</v>
      </c>
      <c r="P18" s="6"/>
      <c r="R18" s="6"/>
      <c r="S18" s="6"/>
      <c r="T18" s="6"/>
      <c r="U18" s="6"/>
      <c r="V18" s="6"/>
      <c r="W18" s="6"/>
      <c r="X18" s="6"/>
      <c r="Y18" s="6"/>
    </row>
    <row r="19" spans="1:25" ht="16.5" thickBot="1">
      <c r="A19" s="86">
        <f t="shared" si="0"/>
        <v>17</v>
      </c>
      <c r="B19" s="220"/>
      <c r="C19" s="33" t="s">
        <v>81</v>
      </c>
      <c r="D19" s="40" t="s">
        <v>41</v>
      </c>
      <c r="E19" s="40" t="s">
        <v>45</v>
      </c>
      <c r="F19" s="243"/>
      <c r="G19" s="72" t="s">
        <v>326</v>
      </c>
      <c r="H19" s="36"/>
      <c r="I19" s="37" t="s">
        <v>46</v>
      </c>
      <c r="J19" s="95"/>
      <c r="K19" s="29"/>
      <c r="L19" s="44"/>
      <c r="M19" s="202" t="s">
        <v>323</v>
      </c>
      <c r="O19" s="204" t="s">
        <v>353</v>
      </c>
      <c r="P19" s="6"/>
      <c r="R19" s="6"/>
      <c r="S19" s="6"/>
      <c r="T19" s="6"/>
      <c r="U19" s="6"/>
      <c r="V19" s="6"/>
      <c r="W19" s="6"/>
      <c r="X19" s="6"/>
      <c r="Y19" s="6"/>
    </row>
    <row r="20" spans="1:25" ht="27.75" thickBot="1">
      <c r="A20" s="86">
        <f t="shared" si="0"/>
        <v>18</v>
      </c>
      <c r="B20" s="241"/>
      <c r="C20" s="79" t="s">
        <v>82</v>
      </c>
      <c r="D20" s="25" t="s">
        <v>38</v>
      </c>
      <c r="E20" s="25" t="s">
        <v>83</v>
      </c>
      <c r="F20" s="237"/>
      <c r="G20" s="96" t="s">
        <v>324</v>
      </c>
      <c r="H20" s="97"/>
      <c r="I20" s="98" t="s">
        <v>38</v>
      </c>
      <c r="J20" s="99"/>
      <c r="K20" s="100"/>
      <c r="L20" s="101" t="s">
        <v>48</v>
      </c>
      <c r="M20" s="202" t="s">
        <v>325</v>
      </c>
      <c r="N20" s="6"/>
      <c r="O20" s="204" t="s">
        <v>354</v>
      </c>
      <c r="P20" s="6"/>
      <c r="R20" s="6"/>
      <c r="S20" s="6"/>
      <c r="T20" s="6"/>
      <c r="U20" s="6"/>
      <c r="V20" s="6"/>
      <c r="W20" s="6"/>
      <c r="X20" s="6"/>
      <c r="Y20" s="6"/>
    </row>
    <row r="21" spans="1:25" ht="26.25" thickBot="1">
      <c r="A21" s="86">
        <f t="shared" si="0"/>
        <v>19</v>
      </c>
      <c r="B21" s="233" t="s">
        <v>84</v>
      </c>
      <c r="C21" s="102" t="s">
        <v>85</v>
      </c>
      <c r="D21" s="65" t="s">
        <v>31</v>
      </c>
      <c r="E21" s="65" t="s">
        <v>86</v>
      </c>
      <c r="F21" s="231" t="s">
        <v>27</v>
      </c>
      <c r="G21" s="103" t="s">
        <v>87</v>
      </c>
      <c r="H21" s="104"/>
      <c r="I21" s="105" t="s">
        <v>38</v>
      </c>
      <c r="J21" s="68"/>
      <c r="K21" s="18"/>
      <c r="L21" s="106" t="s">
        <v>88</v>
      </c>
      <c r="M21" s="202" t="s">
        <v>334</v>
      </c>
      <c r="O21" s="204" t="s">
        <v>354</v>
      </c>
      <c r="P21" s="6"/>
      <c r="R21" s="6"/>
      <c r="S21" s="6"/>
      <c r="T21" s="6"/>
      <c r="U21" s="6"/>
      <c r="V21" s="6"/>
      <c r="W21" s="6"/>
      <c r="X21" s="6"/>
      <c r="Y21" s="6"/>
    </row>
    <row r="22" spans="1:25" ht="27.75" thickBot="1">
      <c r="A22" s="86">
        <f t="shared" si="0"/>
        <v>20</v>
      </c>
      <c r="B22" s="221"/>
      <c r="C22" s="79" t="s">
        <v>89</v>
      </c>
      <c r="D22" s="25" t="s">
        <v>35</v>
      </c>
      <c r="E22" s="25" t="s">
        <v>90</v>
      </c>
      <c r="F22" s="232"/>
      <c r="G22" s="107" t="s">
        <v>91</v>
      </c>
      <c r="H22" s="108"/>
      <c r="I22" s="109" t="s">
        <v>38</v>
      </c>
      <c r="J22" s="48"/>
      <c r="K22" s="30"/>
      <c r="L22" s="32" t="s">
        <v>92</v>
      </c>
      <c r="M22" s="202" t="s">
        <v>348</v>
      </c>
      <c r="N22" s="6"/>
      <c r="O22" s="204" t="s">
        <v>354</v>
      </c>
      <c r="P22" s="6"/>
      <c r="R22" s="6"/>
      <c r="S22" s="6"/>
      <c r="T22" s="6"/>
      <c r="U22" s="6"/>
      <c r="V22" s="6"/>
      <c r="W22" s="6"/>
      <c r="X22" s="6"/>
      <c r="Y22" s="6"/>
    </row>
    <row r="23" spans="1:25" ht="27.75" thickBot="1">
      <c r="A23" s="86">
        <f t="shared" si="0"/>
        <v>21</v>
      </c>
      <c r="B23" s="233" t="s">
        <v>93</v>
      </c>
      <c r="C23" s="110" t="s">
        <v>94</v>
      </c>
      <c r="D23" s="65" t="s">
        <v>95</v>
      </c>
      <c r="E23" s="65" t="s">
        <v>96</v>
      </c>
      <c r="F23" s="234" t="s">
        <v>27</v>
      </c>
      <c r="G23" s="111" t="s">
        <v>335</v>
      </c>
      <c r="H23" s="112"/>
      <c r="I23" s="68" t="s">
        <v>97</v>
      </c>
      <c r="J23" s="113"/>
      <c r="K23" s="18" t="s">
        <v>29</v>
      </c>
      <c r="L23" s="32" t="s">
        <v>98</v>
      </c>
      <c r="M23" s="202" t="s">
        <v>336</v>
      </c>
      <c r="O23" s="6" t="s">
        <v>355</v>
      </c>
      <c r="P23" s="6"/>
      <c r="R23" s="6"/>
      <c r="S23" s="6"/>
      <c r="T23" s="6"/>
      <c r="U23" s="6"/>
      <c r="V23" s="6"/>
      <c r="W23" s="6"/>
      <c r="X23" s="6"/>
      <c r="Y23" s="6"/>
    </row>
    <row r="24" spans="1:25" ht="29.25" thickBot="1">
      <c r="A24" s="86">
        <f t="shared" si="0"/>
        <v>22</v>
      </c>
      <c r="B24" s="221"/>
      <c r="C24" s="114" t="s">
        <v>99</v>
      </c>
      <c r="D24" s="56" t="s">
        <v>100</v>
      </c>
      <c r="E24" s="25" t="s">
        <v>101</v>
      </c>
      <c r="F24" s="235"/>
      <c r="G24" s="82" t="s">
        <v>102</v>
      </c>
      <c r="H24" s="115"/>
      <c r="I24" s="48" t="s">
        <v>97</v>
      </c>
      <c r="J24" s="116"/>
      <c r="K24" s="117" t="s">
        <v>29</v>
      </c>
      <c r="L24" s="21" t="s">
        <v>103</v>
      </c>
      <c r="M24" s="202" t="s">
        <v>337</v>
      </c>
      <c r="N24" s="6"/>
      <c r="O24" s="6" t="s">
        <v>355</v>
      </c>
      <c r="P24" s="6"/>
      <c r="R24" s="6"/>
      <c r="S24" s="6"/>
      <c r="T24" s="6"/>
      <c r="U24" s="6"/>
      <c r="V24" s="6"/>
      <c r="W24" s="6"/>
      <c r="X24" s="6"/>
      <c r="Y24" s="6"/>
    </row>
    <row r="25" spans="1:25" ht="27.75" thickBot="1">
      <c r="A25" s="86">
        <f t="shared" si="0"/>
        <v>23</v>
      </c>
      <c r="B25" s="233" t="s">
        <v>104</v>
      </c>
      <c r="C25" s="102" t="s">
        <v>105</v>
      </c>
      <c r="D25" s="75" t="s">
        <v>41</v>
      </c>
      <c r="E25" s="65" t="s">
        <v>106</v>
      </c>
      <c r="F25" s="236" t="s">
        <v>27</v>
      </c>
      <c r="G25" s="111" t="s">
        <v>107</v>
      </c>
      <c r="H25" s="112"/>
      <c r="I25" s="68" t="s">
        <v>46</v>
      </c>
      <c r="J25" s="118"/>
      <c r="K25" s="53" t="s">
        <v>108</v>
      </c>
      <c r="L25" s="217" t="s">
        <v>109</v>
      </c>
      <c r="M25" s="202" t="s">
        <v>338</v>
      </c>
      <c r="O25" s="204" t="s">
        <v>353</v>
      </c>
      <c r="P25" s="6"/>
      <c r="R25" s="6"/>
      <c r="S25" s="6"/>
      <c r="T25" s="6"/>
      <c r="U25" s="6"/>
      <c r="V25" s="6"/>
      <c r="W25" s="6"/>
      <c r="X25" s="6"/>
      <c r="Y25" s="6"/>
    </row>
    <row r="26" spans="1:25" ht="27.75" thickBot="1">
      <c r="A26" s="86">
        <f t="shared" si="0"/>
        <v>24</v>
      </c>
      <c r="B26" s="221"/>
      <c r="C26" s="79" t="s">
        <v>110</v>
      </c>
      <c r="D26" s="25" t="s">
        <v>31</v>
      </c>
      <c r="E26" s="56" t="s">
        <v>111</v>
      </c>
      <c r="F26" s="237"/>
      <c r="G26" s="82" t="s">
        <v>112</v>
      </c>
      <c r="H26" s="115"/>
      <c r="I26" s="48" t="s">
        <v>46</v>
      </c>
      <c r="J26" s="119"/>
      <c r="K26" s="30" t="s">
        <v>108</v>
      </c>
      <c r="L26" s="218"/>
      <c r="M26" s="202" t="s">
        <v>339</v>
      </c>
      <c r="N26" s="6"/>
      <c r="O26" s="204" t="s">
        <v>353</v>
      </c>
      <c r="P26" s="6"/>
      <c r="R26" s="6"/>
      <c r="S26" s="6"/>
      <c r="T26" s="6"/>
      <c r="U26" s="6"/>
      <c r="V26" s="6"/>
      <c r="W26" s="6"/>
      <c r="X26" s="6"/>
      <c r="Y26" s="6"/>
    </row>
    <row r="27" spans="1:25" ht="27.75" thickBot="1">
      <c r="A27" s="86">
        <f t="shared" si="0"/>
        <v>25</v>
      </c>
      <c r="B27" s="120" t="s">
        <v>113</v>
      </c>
      <c r="C27" s="88" t="s">
        <v>114</v>
      </c>
      <c r="D27" s="121" t="s">
        <v>14</v>
      </c>
      <c r="E27" s="14" t="s">
        <v>115</v>
      </c>
      <c r="F27" s="122" t="s">
        <v>27</v>
      </c>
      <c r="G27" s="91" t="s">
        <v>116</v>
      </c>
      <c r="H27" s="123"/>
      <c r="I27" s="124" t="s">
        <v>97</v>
      </c>
      <c r="J27" s="125"/>
      <c r="K27" s="126" t="s">
        <v>29</v>
      </c>
      <c r="L27" s="21" t="s">
        <v>117</v>
      </c>
      <c r="M27" s="202" t="s">
        <v>349</v>
      </c>
      <c r="N27" s="6"/>
      <c r="O27" s="6" t="s">
        <v>355</v>
      </c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29.25" thickBot="1">
      <c r="A28" s="86">
        <f t="shared" si="0"/>
        <v>26</v>
      </c>
      <c r="B28" s="87" t="s">
        <v>118</v>
      </c>
      <c r="C28" s="88" t="s">
        <v>118</v>
      </c>
      <c r="D28" s="89" t="s">
        <v>14</v>
      </c>
      <c r="E28" s="89" t="s">
        <v>119</v>
      </c>
      <c r="F28" s="127" t="s">
        <v>27</v>
      </c>
      <c r="G28" s="203" t="s">
        <v>308</v>
      </c>
      <c r="H28" s="128"/>
      <c r="I28" s="129" t="s">
        <v>97</v>
      </c>
      <c r="J28" s="130"/>
      <c r="K28" s="131" t="s">
        <v>29</v>
      </c>
      <c r="L28" s="132" t="s">
        <v>120</v>
      </c>
      <c r="M28" s="202" t="s">
        <v>350</v>
      </c>
      <c r="N28" s="6"/>
      <c r="O28" s="6" t="s">
        <v>355</v>
      </c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27.75" thickBot="1">
      <c r="A29" s="86">
        <f t="shared" si="0"/>
        <v>27</v>
      </c>
      <c r="B29" s="87" t="s">
        <v>12</v>
      </c>
      <c r="C29" s="88" t="s">
        <v>121</v>
      </c>
      <c r="D29" s="89" t="s">
        <v>14</v>
      </c>
      <c r="E29" s="89" t="s">
        <v>122</v>
      </c>
      <c r="F29" s="127" t="s">
        <v>27</v>
      </c>
      <c r="G29" s="219" t="s">
        <v>340</v>
      </c>
      <c r="H29" s="133" t="s">
        <v>123</v>
      </c>
      <c r="I29" s="134" t="s">
        <v>17</v>
      </c>
      <c r="J29" s="135"/>
      <c r="K29" s="136" t="s">
        <v>124</v>
      </c>
      <c r="L29" s="222" t="s">
        <v>125</v>
      </c>
      <c r="M29" s="226" t="s">
        <v>341</v>
      </c>
      <c r="N29" t="s">
        <v>314</v>
      </c>
      <c r="O29" s="204" t="s">
        <v>352</v>
      </c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6.5" thickBot="1">
      <c r="A30" s="86">
        <f t="shared" si="0"/>
        <v>28</v>
      </c>
      <c r="B30" s="87" t="s">
        <v>126</v>
      </c>
      <c r="C30" s="88" t="s">
        <v>127</v>
      </c>
      <c r="D30" s="121" t="s">
        <v>128</v>
      </c>
      <c r="E30" s="89" t="s">
        <v>129</v>
      </c>
      <c r="F30" s="127" t="s">
        <v>27</v>
      </c>
      <c r="G30" s="220"/>
      <c r="H30" s="137" t="s">
        <v>130</v>
      </c>
      <c r="I30" s="138" t="s">
        <v>17</v>
      </c>
      <c r="J30" s="139"/>
      <c r="K30" s="140" t="s">
        <v>124</v>
      </c>
      <c r="L30" s="223"/>
      <c r="M30" s="226"/>
      <c r="N30" t="s">
        <v>315</v>
      </c>
      <c r="O30" s="204" t="s">
        <v>352</v>
      </c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thickBot="1">
      <c r="A31" s="86">
        <f t="shared" si="0"/>
        <v>29</v>
      </c>
      <c r="B31" s="233" t="s">
        <v>68</v>
      </c>
      <c r="C31" s="74" t="s">
        <v>131</v>
      </c>
      <c r="D31" s="65" t="s">
        <v>128</v>
      </c>
      <c r="E31" s="75" t="s">
        <v>132</v>
      </c>
      <c r="F31" s="141" t="s">
        <v>27</v>
      </c>
      <c r="G31" s="220"/>
      <c r="H31" s="142" t="s">
        <v>133</v>
      </c>
      <c r="I31" s="138" t="s">
        <v>17</v>
      </c>
      <c r="J31" s="95"/>
      <c r="K31" s="143" t="s">
        <v>134</v>
      </c>
      <c r="L31" s="223"/>
      <c r="M31" s="226"/>
      <c r="N31" s="202" t="s">
        <v>319</v>
      </c>
      <c r="O31" s="204" t="s">
        <v>352</v>
      </c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27.75" thickBot="1">
      <c r="A32" s="86">
        <f t="shared" si="0"/>
        <v>30</v>
      </c>
      <c r="B32" s="220"/>
      <c r="C32" s="33" t="s">
        <v>69</v>
      </c>
      <c r="D32" s="40" t="s">
        <v>70</v>
      </c>
      <c r="E32" s="40" t="s">
        <v>71</v>
      </c>
      <c r="F32" s="35"/>
      <c r="G32" s="220"/>
      <c r="H32" s="142" t="s">
        <v>72</v>
      </c>
      <c r="I32" s="138" t="s">
        <v>17</v>
      </c>
      <c r="J32" s="95"/>
      <c r="K32" s="143" t="s">
        <v>124</v>
      </c>
      <c r="L32" s="223"/>
      <c r="M32" s="226"/>
      <c r="N32" t="s">
        <v>317</v>
      </c>
      <c r="O32" s="204" t="s">
        <v>352</v>
      </c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6.5" thickBot="1">
      <c r="A33" s="86">
        <f t="shared" si="0"/>
        <v>31</v>
      </c>
      <c r="B33" s="220"/>
      <c r="C33" s="33" t="s">
        <v>135</v>
      </c>
      <c r="D33" s="40" t="s">
        <v>41</v>
      </c>
      <c r="E33" s="40" t="s">
        <v>136</v>
      </c>
      <c r="F33" s="35"/>
      <c r="G33" s="220"/>
      <c r="H33" s="142" t="s">
        <v>137</v>
      </c>
      <c r="I33" s="138" t="s">
        <v>46</v>
      </c>
      <c r="J33" s="95"/>
      <c r="K33" s="143" t="s">
        <v>138</v>
      </c>
      <c r="L33" s="223"/>
      <c r="M33" s="226"/>
      <c r="N33" t="s">
        <v>318</v>
      </c>
      <c r="O33" s="204" t="s">
        <v>353</v>
      </c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27.75" thickBot="1">
      <c r="A34" s="86">
        <f t="shared" si="0"/>
        <v>32</v>
      </c>
      <c r="B34" s="221"/>
      <c r="C34" s="144" t="s">
        <v>139</v>
      </c>
      <c r="D34" s="25" t="s">
        <v>140</v>
      </c>
      <c r="E34" s="25" t="s">
        <v>141</v>
      </c>
      <c r="F34" s="145" t="s">
        <v>27</v>
      </c>
      <c r="G34" s="221"/>
      <c r="H34" s="59" t="s">
        <v>142</v>
      </c>
      <c r="I34" s="60" t="s">
        <v>17</v>
      </c>
      <c r="J34" s="119"/>
      <c r="K34" s="146" t="s">
        <v>124</v>
      </c>
      <c r="L34" s="218"/>
      <c r="M34" s="227"/>
      <c r="N34" t="s">
        <v>316</v>
      </c>
      <c r="O34" s="204" t="s">
        <v>352</v>
      </c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6.5" thickBot="1">
      <c r="A35" s="147"/>
      <c r="B35" s="147"/>
      <c r="C35" s="147"/>
      <c r="D35" s="148"/>
      <c r="E35" s="148"/>
      <c r="F35" s="147"/>
      <c r="G35" s="147"/>
      <c r="H35" s="147"/>
      <c r="I35" s="147"/>
      <c r="J35" s="148"/>
      <c r="K35" s="147"/>
      <c r="L35" s="147"/>
      <c r="M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6.5" thickBo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6.5" thickBo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6.5" thickBot="1">
      <c r="A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6.5" thickBot="1">
      <c r="A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6.5" thickBot="1">
      <c r="A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6.5" thickBot="1">
      <c r="A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6.5" thickBot="1">
      <c r="A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6.5" thickBo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6.5" thickBo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6.5" thickBo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6.5" thickBo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6.5" thickBo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6.5" thickBo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6.5" thickBo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6.5" thickBo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6.5" thickBo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6.5" thickBo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6.5" thickBo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6.5" thickBo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6.5" thickBo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6.5" thickBo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6.5" thickBo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6.5" thickBo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6.5" thickBo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6.5" thickBo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6.5" thickBo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6.5" thickBo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6.5" thickBo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6.5" thickBo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6.5" thickBo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6.5" thickBo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6.5" thickBo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6.5" thickBo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6.5" thickBo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6.5" thickBo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6.5" thickBo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6.5" thickBo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6.5" thickBo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6.5" thickBo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6.5" thickBo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6.5" thickBo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6.5" thickBo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6.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6.5" thickBo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6.5" thickBo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6.5" thickBo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6.5" thickBo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6.5" thickBo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6.5" thickBo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6.5" thickBo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6.5" thickBo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6.5" thickBo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6.5" thickBo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6.5" thickBo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6.5" thickBo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6.5" thickBo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6.5" thickBo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6.5" thickBo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6.5" thickBo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6.5" thickBo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6.5" thickBo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6.5" thickBo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6.5" thickBo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6.5" thickBo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6.5" thickBo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6.5" thickBo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6.5" thickBo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6.5" thickBo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6.5" thickBo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6.5" thickBo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6.5" thickBo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6.5" thickBo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6.5" thickBo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6.5" thickBo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6.5" thickBo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6.5" thickBo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6.5" thickBo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6.5" thickBo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6.5" thickBo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6.5" thickBo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6.5" thickBo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6.5" thickBo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6.5" thickBo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6.5" thickBo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6.5" thickBo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6.5" thickBo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6.5" thickBo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6.5" thickBo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6.5" thickBo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6.5" thickBo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6.5" thickBo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6.5" thickBo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6.5" thickBo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6.5" thickBo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6.5" thickBo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6.5" thickBo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6.5" thickBo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6.5" thickBo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6.5" thickBo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6.5" thickBo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6.5" thickBo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6.5" thickBo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6.5" thickBo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6.5" thickBo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6.5" thickBo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6.5" thickBo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6.5" thickBo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6.5" thickBo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6.5" thickBo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6.5" thickBo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6.5" thickBo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6.5" thickBo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6.5" thickBo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6.5" thickBo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6.5" thickBo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6.5" thickBo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6.5" thickBo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6.5" thickBo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6.5" thickBo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6.5" thickBo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6.5" thickBo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6.5" thickBo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6.5" thickBo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6.5" thickBo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6.5" thickBo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6.5" thickBo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6.5" thickBo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6.5" thickBo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6.5" thickBo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6.5" thickBo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6.5" thickBo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6.5" thickBo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6.5" thickBo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6.5" thickBo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6.5" thickBo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6.5" thickBo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6.5" thickBo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6.5" thickBo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6.5" thickBo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6.5" thickBo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6.5" thickBo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6.5" thickBo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6.5" thickBo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6.5" thickBo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6.5" thickBo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6.5" thickBo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6.5" thickBo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6.5" thickBo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6.5" thickBo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6.5" thickBo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6.5" thickBo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6.5" thickBo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6.5" thickBo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6.5" thickBo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6.5" thickBo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6.5" thickBo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6.5" thickBo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6.5" thickBo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6.5" thickBo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6.5" thickBo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6.5" thickBo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6.5" thickBo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6.5" thickBo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6.5" thickBo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6.5" thickBo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6.5" thickBo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6.5" thickBo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6.5" thickBo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6.5" thickBo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6.5" thickBo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6.5" thickBo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6.5" thickBo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6.5" thickBo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6.5" thickBo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6.5" thickBo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6.5" thickBo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6.5" thickBo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6.5" thickBo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6.5" thickBo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6.5" thickBo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6.5" thickBo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6.5" thickBo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6.5" thickBo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6.5" thickBo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6.5" thickBo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6.5" thickBo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6.5" thickBo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6.5" thickBo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6.5" thickBo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6.5" thickBo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6.5" thickBo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6.5" thickBo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6.5" thickBo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6.5" thickBo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6.5" thickBo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6.5" thickBo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6.5" thickBo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6.5" thickBo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6.5" thickBo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</sheetData>
  <mergeCells count="18">
    <mergeCell ref="M29:M34"/>
    <mergeCell ref="M1:O1"/>
    <mergeCell ref="F21:F22"/>
    <mergeCell ref="B25:B26"/>
    <mergeCell ref="B31:B34"/>
    <mergeCell ref="B21:B22"/>
    <mergeCell ref="B23:B24"/>
    <mergeCell ref="F23:F24"/>
    <mergeCell ref="F25:F26"/>
    <mergeCell ref="B1:F1"/>
    <mergeCell ref="B3:B9"/>
    <mergeCell ref="B10:B15"/>
    <mergeCell ref="B17:B20"/>
    <mergeCell ref="F17:F20"/>
    <mergeCell ref="L25:L26"/>
    <mergeCell ref="G29:G34"/>
    <mergeCell ref="L29:L34"/>
    <mergeCell ref="G1:I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tabSelected="1" topLeftCell="A60" workbookViewId="0">
      <selection activeCell="I74" sqref="I74"/>
    </sheetView>
  </sheetViews>
  <sheetFormatPr defaultColWidth="11.25" defaultRowHeight="15" customHeight="1"/>
  <cols>
    <col min="1" max="1" width="2.625" customWidth="1"/>
    <col min="2" max="2" width="17.25" customWidth="1"/>
    <col min="3" max="3" width="18.75" customWidth="1"/>
    <col min="4" max="4" width="12.375" bestFit="1" customWidth="1"/>
    <col min="5" max="5" width="18.875" customWidth="1"/>
    <col min="6" max="6" width="5.5" customWidth="1"/>
    <col min="7" max="7" width="8.5" customWidth="1"/>
    <col min="8" max="8" width="16.5" bestFit="1" customWidth="1"/>
    <col min="9" max="9" width="15.75" customWidth="1"/>
    <col min="10" max="10" width="11.625" bestFit="1" customWidth="1"/>
    <col min="11" max="11" width="30.125" bestFit="1" customWidth="1"/>
    <col min="12" max="12" width="9.5" bestFit="1" customWidth="1"/>
    <col min="14" max="14" width="9.75" bestFit="1" customWidth="1"/>
    <col min="15" max="15" width="12.375" bestFit="1" customWidth="1"/>
    <col min="16" max="25" width="6.75" customWidth="1"/>
  </cols>
  <sheetData>
    <row r="1" spans="1:15" ht="16.5" thickBot="1">
      <c r="A1" s="149"/>
      <c r="B1" s="262" t="s">
        <v>0</v>
      </c>
      <c r="C1" s="263"/>
      <c r="D1" s="264" t="s">
        <v>143</v>
      </c>
      <c r="E1" s="265"/>
      <c r="F1" s="265"/>
      <c r="G1" s="265"/>
      <c r="H1" s="266"/>
      <c r="I1" s="150" t="s">
        <v>144</v>
      </c>
      <c r="J1" s="244" t="s">
        <v>310</v>
      </c>
      <c r="K1" s="245"/>
      <c r="L1" s="245"/>
      <c r="O1" s="207"/>
    </row>
    <row r="2" spans="1:15" ht="27.75" thickBot="1">
      <c r="A2" s="151" t="s">
        <v>3</v>
      </c>
      <c r="B2" s="152" t="s">
        <v>4</v>
      </c>
      <c r="C2" s="153" t="s">
        <v>145</v>
      </c>
      <c r="D2" s="154" t="s">
        <v>146</v>
      </c>
      <c r="E2" s="155" t="s">
        <v>147</v>
      </c>
      <c r="F2" s="155" t="s">
        <v>6</v>
      </c>
      <c r="G2" s="155" t="s">
        <v>148</v>
      </c>
      <c r="H2" s="156" t="s">
        <v>8</v>
      </c>
      <c r="I2" s="157"/>
      <c r="J2" t="s">
        <v>146</v>
      </c>
      <c r="K2" t="s">
        <v>147</v>
      </c>
      <c r="L2" t="s">
        <v>6</v>
      </c>
    </row>
    <row r="3" spans="1:15" ht="41.25" thickBot="1">
      <c r="A3" s="151">
        <f t="shared" ref="A3:A70" si="0">ROW()-2</f>
        <v>1</v>
      </c>
      <c r="B3" s="158" t="s">
        <v>149</v>
      </c>
      <c r="C3" s="159"/>
      <c r="D3" s="160" t="s">
        <v>16</v>
      </c>
      <c r="E3" s="92"/>
      <c r="F3" s="161" t="s">
        <v>150</v>
      </c>
      <c r="G3" s="161" t="s">
        <v>14</v>
      </c>
      <c r="H3" s="162"/>
      <c r="I3" s="163"/>
      <c r="J3" s="202" t="s">
        <v>365</v>
      </c>
      <c r="L3" t="s">
        <v>150</v>
      </c>
    </row>
    <row r="4" spans="1:15" ht="54.75" thickBot="1">
      <c r="A4" s="151">
        <f t="shared" si="0"/>
        <v>2</v>
      </c>
      <c r="B4" s="164" t="s">
        <v>151</v>
      </c>
      <c r="C4" s="159"/>
      <c r="D4" s="165" t="s">
        <v>357</v>
      </c>
      <c r="E4" s="123"/>
      <c r="F4" s="124" t="s">
        <v>150</v>
      </c>
      <c r="G4" s="124" t="s">
        <v>14</v>
      </c>
      <c r="H4" s="155"/>
      <c r="I4" s="157"/>
      <c r="J4" t="s">
        <v>52</v>
      </c>
      <c r="L4" t="s">
        <v>150</v>
      </c>
    </row>
    <row r="5" spans="1:15" ht="16.5" thickBot="1">
      <c r="A5" s="151">
        <f t="shared" si="0"/>
        <v>3</v>
      </c>
      <c r="B5" s="260" t="s">
        <v>152</v>
      </c>
      <c r="C5" s="141" t="s">
        <v>153</v>
      </c>
      <c r="D5" s="259" t="s">
        <v>154</v>
      </c>
      <c r="E5" s="94" t="s">
        <v>155</v>
      </c>
      <c r="F5" s="166" t="s">
        <v>150</v>
      </c>
      <c r="G5" s="166" t="s">
        <v>156</v>
      </c>
      <c r="H5" s="118"/>
      <c r="I5" s="167"/>
      <c r="J5" s="248" t="s">
        <v>154</v>
      </c>
      <c r="K5" t="s">
        <v>155</v>
      </c>
      <c r="L5" t="s">
        <v>150</v>
      </c>
    </row>
    <row r="6" spans="1:15" ht="27.75" thickBot="1">
      <c r="A6" s="151">
        <f t="shared" si="0"/>
        <v>4</v>
      </c>
      <c r="B6" s="255"/>
      <c r="C6" s="35" t="s">
        <v>19</v>
      </c>
      <c r="D6" s="255"/>
      <c r="E6" s="36" t="s">
        <v>22</v>
      </c>
      <c r="F6" s="37" t="s">
        <v>150</v>
      </c>
      <c r="G6" s="37" t="s">
        <v>20</v>
      </c>
      <c r="H6" s="95"/>
      <c r="I6" s="168"/>
      <c r="J6" s="248"/>
      <c r="K6" t="s">
        <v>22</v>
      </c>
      <c r="L6" t="s">
        <v>150</v>
      </c>
    </row>
    <row r="7" spans="1:15" ht="16.5" thickBot="1">
      <c r="A7" s="151">
        <f t="shared" si="0"/>
        <v>5</v>
      </c>
      <c r="B7" s="255"/>
      <c r="C7" s="35" t="s">
        <v>24</v>
      </c>
      <c r="D7" s="255"/>
      <c r="E7" s="36" t="s">
        <v>28</v>
      </c>
      <c r="F7" s="37" t="s">
        <v>150</v>
      </c>
      <c r="G7" s="37" t="s">
        <v>25</v>
      </c>
      <c r="H7" s="95"/>
      <c r="I7" s="168"/>
      <c r="J7" s="248"/>
      <c r="K7" t="s">
        <v>28</v>
      </c>
      <c r="L7" t="s">
        <v>150</v>
      </c>
    </row>
    <row r="8" spans="1:15" ht="16.5" thickBot="1">
      <c r="A8" s="151">
        <f t="shared" si="0"/>
        <v>6</v>
      </c>
      <c r="B8" s="255"/>
      <c r="C8" s="35" t="s">
        <v>30</v>
      </c>
      <c r="D8" s="255"/>
      <c r="E8" s="36" t="s">
        <v>33</v>
      </c>
      <c r="F8" s="37" t="s">
        <v>150</v>
      </c>
      <c r="G8" s="37" t="s">
        <v>31</v>
      </c>
      <c r="H8" s="95"/>
      <c r="I8" s="168"/>
      <c r="J8" s="248"/>
      <c r="K8" t="s">
        <v>33</v>
      </c>
      <c r="L8" t="s">
        <v>150</v>
      </c>
    </row>
    <row r="9" spans="1:15" ht="16.5" thickBot="1">
      <c r="A9" s="151">
        <f t="shared" si="0"/>
        <v>7</v>
      </c>
      <c r="B9" s="255"/>
      <c r="C9" s="35" t="s">
        <v>34</v>
      </c>
      <c r="D9" s="255"/>
      <c r="E9" s="36" t="s">
        <v>37</v>
      </c>
      <c r="F9" s="37" t="s">
        <v>150</v>
      </c>
      <c r="G9" s="37" t="s">
        <v>35</v>
      </c>
      <c r="H9" s="95"/>
      <c r="I9" s="168"/>
      <c r="J9" s="248"/>
      <c r="K9" t="s">
        <v>37</v>
      </c>
      <c r="L9" t="s">
        <v>150</v>
      </c>
    </row>
    <row r="10" spans="1:15" ht="27.75" thickBot="1">
      <c r="A10" s="151">
        <f t="shared" si="0"/>
        <v>8</v>
      </c>
      <c r="B10" s="255"/>
      <c r="C10" s="35" t="s">
        <v>40</v>
      </c>
      <c r="D10" s="255"/>
      <c r="E10" s="36" t="s">
        <v>43</v>
      </c>
      <c r="F10" s="37" t="s">
        <v>157</v>
      </c>
      <c r="G10" s="37" t="s">
        <v>41</v>
      </c>
      <c r="H10" s="95"/>
      <c r="I10" s="168"/>
      <c r="J10" s="248"/>
      <c r="K10" t="s">
        <v>43</v>
      </c>
      <c r="L10" t="s">
        <v>356</v>
      </c>
    </row>
    <row r="11" spans="1:15" ht="27.75" thickBot="1">
      <c r="A11" s="151">
        <f t="shared" si="0"/>
        <v>9</v>
      </c>
      <c r="B11" s="255"/>
      <c r="C11" s="35" t="s">
        <v>158</v>
      </c>
      <c r="D11" s="255"/>
      <c r="E11" s="36" t="s">
        <v>159</v>
      </c>
      <c r="F11" s="37" t="s">
        <v>157</v>
      </c>
      <c r="G11" s="37" t="s">
        <v>41</v>
      </c>
      <c r="H11" s="95" t="s">
        <v>27</v>
      </c>
      <c r="I11" s="168"/>
      <c r="J11" s="248"/>
      <c r="K11" t="s">
        <v>159</v>
      </c>
      <c r="L11" t="s">
        <v>356</v>
      </c>
    </row>
    <row r="12" spans="1:15" ht="27.75" thickBot="1">
      <c r="A12" s="151">
        <f t="shared" si="0"/>
        <v>10</v>
      </c>
      <c r="B12" s="255"/>
      <c r="C12" s="35" t="s">
        <v>160</v>
      </c>
      <c r="D12" s="255"/>
      <c r="E12" s="36" t="s">
        <v>161</v>
      </c>
      <c r="F12" s="37" t="s">
        <v>150</v>
      </c>
      <c r="G12" s="37" t="s">
        <v>162</v>
      </c>
      <c r="H12" s="95" t="s">
        <v>27</v>
      </c>
      <c r="I12" s="168"/>
      <c r="J12" s="248"/>
      <c r="K12" t="s">
        <v>161</v>
      </c>
      <c r="L12" t="s">
        <v>150</v>
      </c>
    </row>
    <row r="13" spans="1:15" ht="27.75" thickBot="1">
      <c r="A13" s="151">
        <f t="shared" si="0"/>
        <v>11</v>
      </c>
      <c r="B13" s="255"/>
      <c r="C13" s="35" t="s">
        <v>163</v>
      </c>
      <c r="D13" s="255"/>
      <c r="E13" s="36" t="s">
        <v>164</v>
      </c>
      <c r="F13" s="37" t="s">
        <v>150</v>
      </c>
      <c r="G13" s="37" t="s">
        <v>70</v>
      </c>
      <c r="H13" s="95" t="s">
        <v>27</v>
      </c>
      <c r="I13" s="168"/>
      <c r="J13" s="248"/>
      <c r="K13" t="s">
        <v>164</v>
      </c>
      <c r="L13" t="s">
        <v>150</v>
      </c>
    </row>
    <row r="14" spans="1:15" ht="27.75" thickBot="1">
      <c r="A14" s="151">
        <f t="shared" si="0"/>
        <v>12</v>
      </c>
      <c r="B14" s="255"/>
      <c r="C14" s="35" t="s">
        <v>165</v>
      </c>
      <c r="D14" s="255"/>
      <c r="E14" s="36" t="s">
        <v>166</v>
      </c>
      <c r="F14" s="37" t="s">
        <v>157</v>
      </c>
      <c r="G14" s="37" t="s">
        <v>41</v>
      </c>
      <c r="H14" s="95"/>
      <c r="I14" s="168"/>
      <c r="J14" s="248"/>
      <c r="K14" t="s">
        <v>166</v>
      </c>
      <c r="L14" t="s">
        <v>356</v>
      </c>
    </row>
    <row r="15" spans="1:15" ht="27.75" thickBot="1">
      <c r="A15" s="151">
        <f t="shared" si="0"/>
        <v>13</v>
      </c>
      <c r="B15" s="255"/>
      <c r="C15" s="35" t="s">
        <v>167</v>
      </c>
      <c r="D15" s="255"/>
      <c r="E15" s="36" t="s">
        <v>168</v>
      </c>
      <c r="F15" s="37" t="s">
        <v>157</v>
      </c>
      <c r="G15" s="37" t="s">
        <v>41</v>
      </c>
      <c r="H15" s="95"/>
      <c r="I15" s="168"/>
      <c r="J15" s="248"/>
      <c r="K15" t="s">
        <v>168</v>
      </c>
      <c r="L15" t="s">
        <v>356</v>
      </c>
    </row>
    <row r="16" spans="1:15" ht="27.75" thickBot="1">
      <c r="A16" s="151">
        <f t="shared" si="0"/>
        <v>14</v>
      </c>
      <c r="B16" s="255"/>
      <c r="C16" s="35" t="s">
        <v>169</v>
      </c>
      <c r="D16" s="255"/>
      <c r="E16" s="36" t="s">
        <v>170</v>
      </c>
      <c r="F16" s="37" t="s">
        <v>157</v>
      </c>
      <c r="G16" s="37" t="s">
        <v>41</v>
      </c>
      <c r="H16" s="95"/>
      <c r="I16" s="168"/>
      <c r="J16" s="248"/>
      <c r="K16" t="s">
        <v>170</v>
      </c>
      <c r="L16" t="s">
        <v>356</v>
      </c>
    </row>
    <row r="17" spans="1:12" ht="27.75" thickBot="1">
      <c r="A17" s="151">
        <f t="shared" si="0"/>
        <v>15</v>
      </c>
      <c r="B17" s="255"/>
      <c r="C17" s="35" t="s">
        <v>44</v>
      </c>
      <c r="D17" s="255"/>
      <c r="E17" s="36" t="s">
        <v>171</v>
      </c>
      <c r="F17" s="37" t="s">
        <v>157</v>
      </c>
      <c r="G17" s="37" t="s">
        <v>41</v>
      </c>
      <c r="H17" s="95"/>
      <c r="I17" s="168"/>
      <c r="J17" s="248"/>
      <c r="K17" t="s">
        <v>171</v>
      </c>
      <c r="L17" t="s">
        <v>356</v>
      </c>
    </row>
    <row r="18" spans="1:12" ht="27.75" thickBot="1">
      <c r="A18" s="151">
        <f t="shared" si="0"/>
        <v>16</v>
      </c>
      <c r="B18" s="255"/>
      <c r="C18" s="35" t="s">
        <v>121</v>
      </c>
      <c r="D18" s="255"/>
      <c r="E18" s="36" t="s">
        <v>172</v>
      </c>
      <c r="F18" s="37" t="s">
        <v>150</v>
      </c>
      <c r="G18" s="37" t="s">
        <v>14</v>
      </c>
      <c r="H18" s="95"/>
      <c r="I18" s="168"/>
      <c r="J18" s="248"/>
      <c r="K18" t="s">
        <v>172</v>
      </c>
      <c r="L18" t="s">
        <v>150</v>
      </c>
    </row>
    <row r="19" spans="1:12" ht="16.5" thickBot="1">
      <c r="A19" s="151">
        <f t="shared" si="0"/>
        <v>17</v>
      </c>
      <c r="B19" s="255"/>
      <c r="C19" s="35" t="s">
        <v>173</v>
      </c>
      <c r="D19" s="255"/>
      <c r="E19" s="36" t="s">
        <v>174</v>
      </c>
      <c r="F19" s="37" t="s">
        <v>150</v>
      </c>
      <c r="G19" s="37" t="s">
        <v>175</v>
      </c>
      <c r="H19" s="95" t="s">
        <v>27</v>
      </c>
      <c r="I19" s="168"/>
      <c r="J19" s="248"/>
      <c r="K19" t="s">
        <v>174</v>
      </c>
      <c r="L19" t="s">
        <v>150</v>
      </c>
    </row>
    <row r="20" spans="1:12" ht="27.75" thickBot="1">
      <c r="A20" s="151">
        <f t="shared" si="0"/>
        <v>18</v>
      </c>
      <c r="B20" s="256"/>
      <c r="C20" s="169" t="s">
        <v>176</v>
      </c>
      <c r="D20" s="258"/>
      <c r="E20" s="83" t="s">
        <v>177</v>
      </c>
      <c r="F20" s="84" t="s">
        <v>150</v>
      </c>
      <c r="G20" s="84" t="s">
        <v>14</v>
      </c>
      <c r="H20" s="116" t="s">
        <v>27</v>
      </c>
      <c r="I20" s="170"/>
      <c r="J20" s="248"/>
      <c r="K20" t="s">
        <v>177</v>
      </c>
      <c r="L20" t="s">
        <v>150</v>
      </c>
    </row>
    <row r="21" spans="1:12" ht="16.5" thickBot="1">
      <c r="A21" s="151">
        <f t="shared" si="0"/>
        <v>19</v>
      </c>
      <c r="B21" s="254" t="s">
        <v>178</v>
      </c>
      <c r="C21" s="171" t="s">
        <v>53</v>
      </c>
      <c r="D21" s="261" t="s">
        <v>179</v>
      </c>
      <c r="E21" s="94" t="s">
        <v>55</v>
      </c>
      <c r="F21" s="166" t="s">
        <v>150</v>
      </c>
      <c r="G21" s="118" t="s">
        <v>31</v>
      </c>
      <c r="H21" s="118"/>
      <c r="I21" s="167"/>
      <c r="J21" s="248" t="s">
        <v>179</v>
      </c>
      <c r="K21" t="s">
        <v>55</v>
      </c>
      <c r="L21" t="s">
        <v>150</v>
      </c>
    </row>
    <row r="22" spans="1:12" ht="27.75" thickBot="1">
      <c r="A22" s="151">
        <f t="shared" si="0"/>
        <v>20</v>
      </c>
      <c r="B22" s="255"/>
      <c r="C22" s="35" t="s">
        <v>56</v>
      </c>
      <c r="D22" s="255"/>
      <c r="E22" s="36" t="s">
        <v>58</v>
      </c>
      <c r="F22" s="37" t="s">
        <v>150</v>
      </c>
      <c r="G22" s="95" t="s">
        <v>35</v>
      </c>
      <c r="H22" s="95"/>
      <c r="I22" s="168"/>
      <c r="J22" s="248"/>
      <c r="K22" t="s">
        <v>58</v>
      </c>
      <c r="L22" t="s">
        <v>150</v>
      </c>
    </row>
    <row r="23" spans="1:12" ht="16.5" thickBot="1">
      <c r="A23" s="151">
        <f t="shared" si="0"/>
        <v>21</v>
      </c>
      <c r="B23" s="255"/>
      <c r="C23" s="35" t="s">
        <v>59</v>
      </c>
      <c r="D23" s="255"/>
      <c r="E23" s="36" t="s">
        <v>61</v>
      </c>
      <c r="F23" s="37" t="s">
        <v>150</v>
      </c>
      <c r="G23" s="95" t="s">
        <v>31</v>
      </c>
      <c r="H23" s="95"/>
      <c r="I23" s="168"/>
      <c r="J23" s="248"/>
      <c r="K23" t="s">
        <v>61</v>
      </c>
      <c r="L23" t="s">
        <v>150</v>
      </c>
    </row>
    <row r="24" spans="1:12" ht="27.75" thickBot="1">
      <c r="A24" s="151">
        <f t="shared" si="0"/>
        <v>22</v>
      </c>
      <c r="B24" s="255"/>
      <c r="C24" s="35" t="s">
        <v>62</v>
      </c>
      <c r="D24" s="255"/>
      <c r="E24" s="36" t="s">
        <v>64</v>
      </c>
      <c r="F24" s="37" t="s">
        <v>150</v>
      </c>
      <c r="G24" s="95" t="s">
        <v>31</v>
      </c>
      <c r="H24" s="95"/>
      <c r="I24" s="168"/>
      <c r="J24" s="248"/>
      <c r="K24" t="s">
        <v>64</v>
      </c>
      <c r="L24" t="s">
        <v>150</v>
      </c>
    </row>
    <row r="25" spans="1:12" ht="16.5" thickBot="1">
      <c r="A25" s="151">
        <f t="shared" si="0"/>
        <v>23</v>
      </c>
      <c r="B25" s="255"/>
      <c r="C25" s="35" t="s">
        <v>180</v>
      </c>
      <c r="D25" s="255"/>
      <c r="E25" s="36" t="s">
        <v>181</v>
      </c>
      <c r="F25" s="37" t="s">
        <v>150</v>
      </c>
      <c r="G25" s="95" t="s">
        <v>35</v>
      </c>
      <c r="H25" s="95"/>
      <c r="I25" s="168"/>
      <c r="J25" s="248"/>
      <c r="K25" t="s">
        <v>181</v>
      </c>
      <c r="L25" t="s">
        <v>150</v>
      </c>
    </row>
    <row r="26" spans="1:12" ht="26.25" thickBot="1">
      <c r="A26" s="151">
        <f t="shared" si="0"/>
        <v>24</v>
      </c>
      <c r="B26" s="255"/>
      <c r="C26" s="35" t="s">
        <v>65</v>
      </c>
      <c r="D26" s="255"/>
      <c r="E26" s="36" t="s">
        <v>67</v>
      </c>
      <c r="F26" s="95" t="s">
        <v>157</v>
      </c>
      <c r="G26" s="95" t="s">
        <v>41</v>
      </c>
      <c r="H26" s="95"/>
      <c r="I26" s="168"/>
      <c r="J26" s="248"/>
      <c r="K26" t="s">
        <v>67</v>
      </c>
      <c r="L26" t="s">
        <v>356</v>
      </c>
    </row>
    <row r="27" spans="1:12" ht="16.5" thickBot="1">
      <c r="A27" s="151">
        <f t="shared" si="0"/>
        <v>25</v>
      </c>
      <c r="B27" s="255"/>
      <c r="C27" s="35" t="s">
        <v>182</v>
      </c>
      <c r="D27" s="255"/>
      <c r="E27" s="36" t="s">
        <v>183</v>
      </c>
      <c r="F27" s="37" t="s">
        <v>150</v>
      </c>
      <c r="G27" s="95" t="s">
        <v>75</v>
      </c>
      <c r="H27" s="95" t="s">
        <v>27</v>
      </c>
      <c r="I27" s="168"/>
      <c r="J27" s="248"/>
      <c r="K27" t="s">
        <v>183</v>
      </c>
      <c r="L27" t="s">
        <v>150</v>
      </c>
    </row>
    <row r="28" spans="1:12" ht="26.25" thickBot="1">
      <c r="A28" s="151">
        <f t="shared" si="0"/>
        <v>26</v>
      </c>
      <c r="B28" s="255"/>
      <c r="C28" s="35" t="s">
        <v>184</v>
      </c>
      <c r="D28" s="255"/>
      <c r="E28" s="36" t="s">
        <v>185</v>
      </c>
      <c r="F28" s="37" t="s">
        <v>150</v>
      </c>
      <c r="G28" s="95" t="s">
        <v>186</v>
      </c>
      <c r="H28" s="95" t="s">
        <v>27</v>
      </c>
      <c r="I28" s="168"/>
      <c r="J28" s="248"/>
      <c r="K28" t="s">
        <v>185</v>
      </c>
      <c r="L28" t="s">
        <v>150</v>
      </c>
    </row>
    <row r="29" spans="1:12" ht="26.25" thickBot="1">
      <c r="A29" s="151">
        <f t="shared" si="0"/>
        <v>27</v>
      </c>
      <c r="B29" s="255"/>
      <c r="C29" s="35" t="s">
        <v>187</v>
      </c>
      <c r="D29" s="255"/>
      <c r="E29" s="36" t="s">
        <v>188</v>
      </c>
      <c r="F29" s="37" t="s">
        <v>150</v>
      </c>
      <c r="G29" s="95" t="s">
        <v>186</v>
      </c>
      <c r="H29" s="95"/>
      <c r="I29" s="168"/>
      <c r="J29" s="248"/>
      <c r="K29" t="s">
        <v>188</v>
      </c>
      <c r="L29" t="s">
        <v>150</v>
      </c>
    </row>
    <row r="30" spans="1:12" ht="26.25" thickBot="1">
      <c r="A30" s="151">
        <f t="shared" si="0"/>
        <v>28</v>
      </c>
      <c r="B30" s="255"/>
      <c r="C30" s="35" t="s">
        <v>189</v>
      </c>
      <c r="D30" s="255"/>
      <c r="E30" s="36" t="s">
        <v>190</v>
      </c>
      <c r="F30" s="37" t="s">
        <v>150</v>
      </c>
      <c r="G30" s="95" t="s">
        <v>186</v>
      </c>
      <c r="H30" s="95"/>
      <c r="I30" s="168"/>
      <c r="J30" s="248"/>
      <c r="K30" t="s">
        <v>190</v>
      </c>
      <c r="L30" t="s">
        <v>150</v>
      </c>
    </row>
    <row r="31" spans="1:12" ht="27.75" thickBot="1">
      <c r="A31" s="151">
        <f t="shared" si="0"/>
        <v>29</v>
      </c>
      <c r="B31" s="255"/>
      <c r="C31" s="35" t="s">
        <v>191</v>
      </c>
      <c r="D31" s="255"/>
      <c r="E31" s="36" t="s">
        <v>192</v>
      </c>
      <c r="F31" s="37" t="s">
        <v>150</v>
      </c>
      <c r="G31" s="95" t="s">
        <v>75</v>
      </c>
      <c r="H31" s="95" t="s">
        <v>27</v>
      </c>
      <c r="I31" s="168"/>
      <c r="J31" s="248"/>
      <c r="K31" t="s">
        <v>192</v>
      </c>
      <c r="L31" t="s">
        <v>150</v>
      </c>
    </row>
    <row r="32" spans="1:12" ht="26.25" thickBot="1">
      <c r="A32" s="151">
        <f t="shared" si="0"/>
        <v>30</v>
      </c>
      <c r="B32" s="255"/>
      <c r="C32" s="35" t="s">
        <v>193</v>
      </c>
      <c r="D32" s="255"/>
      <c r="E32" s="36" t="s">
        <v>194</v>
      </c>
      <c r="F32" s="37" t="s">
        <v>150</v>
      </c>
      <c r="G32" s="95" t="s">
        <v>195</v>
      </c>
      <c r="H32" s="95" t="s">
        <v>27</v>
      </c>
      <c r="I32" s="168"/>
      <c r="J32" s="248"/>
      <c r="K32" t="s">
        <v>194</v>
      </c>
      <c r="L32" t="s">
        <v>150</v>
      </c>
    </row>
    <row r="33" spans="1:12" ht="27.75" thickBot="1">
      <c r="A33" s="151">
        <f t="shared" si="0"/>
        <v>31</v>
      </c>
      <c r="B33" s="255"/>
      <c r="C33" s="35" t="s">
        <v>196</v>
      </c>
      <c r="D33" s="255"/>
      <c r="E33" s="36" t="s">
        <v>197</v>
      </c>
      <c r="F33" s="37" t="s">
        <v>150</v>
      </c>
      <c r="G33" s="95" t="s">
        <v>198</v>
      </c>
      <c r="H33" s="95" t="s">
        <v>27</v>
      </c>
      <c r="I33" s="168"/>
      <c r="J33" s="248"/>
      <c r="K33" t="s">
        <v>197</v>
      </c>
      <c r="L33" t="s">
        <v>150</v>
      </c>
    </row>
    <row r="34" spans="1:12" ht="16.5" thickBot="1">
      <c r="A34" s="151">
        <f t="shared" si="0"/>
        <v>32</v>
      </c>
      <c r="B34" s="256"/>
      <c r="C34" s="169" t="s">
        <v>199</v>
      </c>
      <c r="D34" s="258"/>
      <c r="E34" s="115" t="s">
        <v>200</v>
      </c>
      <c r="F34" s="48" t="s">
        <v>150</v>
      </c>
      <c r="G34" s="116" t="s">
        <v>35</v>
      </c>
      <c r="H34" s="116" t="s">
        <v>27</v>
      </c>
      <c r="I34" s="170"/>
      <c r="J34" s="248"/>
      <c r="K34" t="s">
        <v>200</v>
      </c>
      <c r="L34" t="s">
        <v>150</v>
      </c>
    </row>
    <row r="35" spans="1:12" ht="16.5" customHeight="1" thickBot="1">
      <c r="A35" s="151">
        <f t="shared" si="0"/>
        <v>33</v>
      </c>
      <c r="B35" s="254" t="s">
        <v>201</v>
      </c>
      <c r="C35" s="171" t="s">
        <v>69</v>
      </c>
      <c r="D35" s="259" t="s">
        <v>202</v>
      </c>
      <c r="E35" s="112" t="s">
        <v>72</v>
      </c>
      <c r="F35" s="68" t="s">
        <v>150</v>
      </c>
      <c r="G35" s="166" t="s">
        <v>70</v>
      </c>
      <c r="H35" s="118"/>
      <c r="I35" s="167"/>
      <c r="J35" s="246" t="s">
        <v>202</v>
      </c>
      <c r="K35" t="s">
        <v>72</v>
      </c>
      <c r="L35" t="s">
        <v>150</v>
      </c>
    </row>
    <row r="36" spans="1:12" ht="27.75" thickBot="1">
      <c r="A36" s="151">
        <f t="shared" si="0"/>
        <v>34</v>
      </c>
      <c r="B36" s="255"/>
      <c r="C36" s="35" t="s">
        <v>135</v>
      </c>
      <c r="D36" s="255"/>
      <c r="E36" s="36" t="s">
        <v>137</v>
      </c>
      <c r="F36" s="37" t="s">
        <v>157</v>
      </c>
      <c r="G36" s="37" t="s">
        <v>41</v>
      </c>
      <c r="H36" s="95"/>
      <c r="I36" s="168"/>
      <c r="J36" s="249"/>
      <c r="K36" t="s">
        <v>137</v>
      </c>
      <c r="L36" t="s">
        <v>356</v>
      </c>
    </row>
    <row r="37" spans="1:12" ht="27.75" thickBot="1">
      <c r="A37" s="151">
        <f t="shared" si="0"/>
        <v>35</v>
      </c>
      <c r="B37" s="255"/>
      <c r="C37" s="35" t="s">
        <v>203</v>
      </c>
      <c r="D37" s="255"/>
      <c r="E37" s="36" t="s">
        <v>204</v>
      </c>
      <c r="F37" s="37" t="s">
        <v>157</v>
      </c>
      <c r="G37" s="37" t="s">
        <v>41</v>
      </c>
      <c r="H37" s="95"/>
      <c r="I37" s="168"/>
      <c r="J37" s="249"/>
      <c r="K37" t="s">
        <v>204</v>
      </c>
      <c r="L37" t="s">
        <v>356</v>
      </c>
    </row>
    <row r="38" spans="1:12" ht="27.75" thickBot="1">
      <c r="A38" s="151">
        <f t="shared" si="0"/>
        <v>36</v>
      </c>
      <c r="B38" s="255"/>
      <c r="C38" s="35" t="s">
        <v>205</v>
      </c>
      <c r="D38" s="255"/>
      <c r="E38" s="142" t="s">
        <v>206</v>
      </c>
      <c r="F38" s="138" t="s">
        <v>157</v>
      </c>
      <c r="G38" s="138" t="s">
        <v>41</v>
      </c>
      <c r="H38" s="95"/>
      <c r="I38" s="172" t="s">
        <v>207</v>
      </c>
      <c r="J38" s="249"/>
      <c r="K38" t="s">
        <v>206</v>
      </c>
      <c r="L38" t="s">
        <v>356</v>
      </c>
    </row>
    <row r="39" spans="1:12" ht="27.75" thickBot="1">
      <c r="A39" s="151">
        <f t="shared" si="0"/>
        <v>37</v>
      </c>
      <c r="B39" s="255"/>
      <c r="C39" s="35" t="s">
        <v>208</v>
      </c>
      <c r="D39" s="255"/>
      <c r="E39" s="36" t="s">
        <v>209</v>
      </c>
      <c r="F39" s="37" t="s">
        <v>157</v>
      </c>
      <c r="G39" s="37" t="s">
        <v>41</v>
      </c>
      <c r="H39" s="95"/>
      <c r="I39" s="168"/>
      <c r="J39" s="249"/>
      <c r="K39" t="s">
        <v>209</v>
      </c>
      <c r="L39" t="s">
        <v>356</v>
      </c>
    </row>
    <row r="40" spans="1:12" ht="27.75" thickBot="1">
      <c r="A40" s="151">
        <f t="shared" si="0"/>
        <v>38</v>
      </c>
      <c r="B40" s="256"/>
      <c r="C40" s="145" t="s">
        <v>139</v>
      </c>
      <c r="D40" s="258"/>
      <c r="E40" s="115" t="s">
        <v>142</v>
      </c>
      <c r="F40" s="48" t="s">
        <v>150</v>
      </c>
      <c r="G40" s="48" t="s">
        <v>140</v>
      </c>
      <c r="H40" s="119" t="s">
        <v>27</v>
      </c>
      <c r="I40" s="173"/>
      <c r="J40" s="247"/>
      <c r="K40" t="s">
        <v>142</v>
      </c>
      <c r="L40" t="s">
        <v>150</v>
      </c>
    </row>
    <row r="41" spans="1:12" ht="51.75" thickBot="1">
      <c r="A41" s="151">
        <f t="shared" si="0"/>
        <v>39</v>
      </c>
      <c r="B41" s="174" t="s">
        <v>210</v>
      </c>
      <c r="C41" s="90" t="s">
        <v>211</v>
      </c>
      <c r="D41" s="175" t="s">
        <v>212</v>
      </c>
      <c r="E41" s="123" t="s">
        <v>213</v>
      </c>
      <c r="F41" s="176" t="s">
        <v>157</v>
      </c>
      <c r="G41" s="176" t="s">
        <v>41</v>
      </c>
      <c r="H41" s="177"/>
      <c r="I41" s="178"/>
      <c r="J41" s="205" t="s">
        <v>212</v>
      </c>
      <c r="K41" t="s">
        <v>213</v>
      </c>
      <c r="L41" t="s">
        <v>356</v>
      </c>
    </row>
    <row r="42" spans="1:12" ht="27.75" thickBot="1">
      <c r="A42" s="151">
        <f t="shared" si="0"/>
        <v>40</v>
      </c>
      <c r="B42" s="260" t="s">
        <v>214</v>
      </c>
      <c r="C42" s="141" t="s">
        <v>215</v>
      </c>
      <c r="D42" s="259" t="s">
        <v>216</v>
      </c>
      <c r="E42" s="94" t="s">
        <v>217</v>
      </c>
      <c r="F42" s="68" t="s">
        <v>150</v>
      </c>
      <c r="G42" s="68" t="s">
        <v>14</v>
      </c>
      <c r="H42" s="113" t="s">
        <v>27</v>
      </c>
      <c r="I42" s="179"/>
      <c r="J42" s="246" t="s">
        <v>216</v>
      </c>
      <c r="K42" t="s">
        <v>217</v>
      </c>
      <c r="L42" t="s">
        <v>150</v>
      </c>
    </row>
    <row r="43" spans="1:12" ht="27.75" thickBot="1">
      <c r="A43" s="151">
        <f t="shared" si="0"/>
        <v>41</v>
      </c>
      <c r="B43" s="255"/>
      <c r="C43" s="35" t="s">
        <v>74</v>
      </c>
      <c r="D43" s="255"/>
      <c r="E43" s="36" t="s">
        <v>77</v>
      </c>
      <c r="F43" s="37" t="s">
        <v>150</v>
      </c>
      <c r="G43" s="37" t="s">
        <v>75</v>
      </c>
      <c r="H43" s="95" t="s">
        <v>27</v>
      </c>
      <c r="I43" s="168"/>
      <c r="J43" s="249"/>
      <c r="K43" t="s">
        <v>77</v>
      </c>
      <c r="L43" t="s">
        <v>150</v>
      </c>
    </row>
    <row r="44" spans="1:12" ht="16.5" thickBot="1">
      <c r="A44" s="151">
        <f t="shared" si="0"/>
        <v>42</v>
      </c>
      <c r="B44" s="255"/>
      <c r="C44" s="35" t="s">
        <v>78</v>
      </c>
      <c r="D44" s="255"/>
      <c r="E44" s="36" t="s">
        <v>80</v>
      </c>
      <c r="F44" s="37" t="s">
        <v>150</v>
      </c>
      <c r="G44" s="37" t="s">
        <v>31</v>
      </c>
      <c r="H44" s="95" t="s">
        <v>27</v>
      </c>
      <c r="I44" s="168"/>
      <c r="J44" s="249"/>
      <c r="K44" t="s">
        <v>80</v>
      </c>
      <c r="L44" t="s">
        <v>150</v>
      </c>
    </row>
    <row r="45" spans="1:12" ht="16.5" thickBot="1">
      <c r="A45" s="151">
        <f t="shared" si="0"/>
        <v>43</v>
      </c>
      <c r="B45" s="255"/>
      <c r="C45" s="35" t="s">
        <v>218</v>
      </c>
      <c r="D45" s="255"/>
      <c r="E45" s="36" t="s">
        <v>219</v>
      </c>
      <c r="F45" s="37" t="s">
        <v>150</v>
      </c>
      <c r="G45" s="37" t="s">
        <v>31</v>
      </c>
      <c r="H45" s="95" t="s">
        <v>27</v>
      </c>
      <c r="I45" s="168"/>
      <c r="J45" s="249"/>
      <c r="K45" t="s">
        <v>219</v>
      </c>
      <c r="L45" t="s">
        <v>150</v>
      </c>
    </row>
    <row r="46" spans="1:12" ht="27.75" thickBot="1">
      <c r="A46" s="151">
        <f t="shared" si="0"/>
        <v>44</v>
      </c>
      <c r="B46" s="255"/>
      <c r="C46" s="35" t="s">
        <v>220</v>
      </c>
      <c r="D46" s="255"/>
      <c r="E46" s="36" t="s">
        <v>221</v>
      </c>
      <c r="F46" s="37" t="s">
        <v>150</v>
      </c>
      <c r="G46" s="37" t="s">
        <v>95</v>
      </c>
      <c r="H46" s="95" t="s">
        <v>27</v>
      </c>
      <c r="I46" s="168"/>
      <c r="J46" s="249"/>
      <c r="K46" t="s">
        <v>221</v>
      </c>
      <c r="L46" t="s">
        <v>150</v>
      </c>
    </row>
    <row r="47" spans="1:12" ht="16.5" thickBot="1">
      <c r="A47" s="151">
        <f t="shared" si="0"/>
        <v>45</v>
      </c>
      <c r="B47" s="255"/>
      <c r="C47" s="35" t="s">
        <v>222</v>
      </c>
      <c r="D47" s="255"/>
      <c r="E47" s="36" t="s">
        <v>223</v>
      </c>
      <c r="F47" s="37" t="s">
        <v>150</v>
      </c>
      <c r="G47" s="37" t="s">
        <v>25</v>
      </c>
      <c r="H47" s="95" t="s">
        <v>27</v>
      </c>
      <c r="I47" s="168"/>
      <c r="J47" s="249"/>
      <c r="K47" t="s">
        <v>223</v>
      </c>
      <c r="L47" t="s">
        <v>150</v>
      </c>
    </row>
    <row r="48" spans="1:12" ht="27.75" thickBot="1">
      <c r="A48" s="151">
        <f t="shared" si="0"/>
        <v>46</v>
      </c>
      <c r="B48" s="255"/>
      <c r="C48" s="35" t="s">
        <v>82</v>
      </c>
      <c r="D48" s="255"/>
      <c r="E48" s="36" t="s">
        <v>224</v>
      </c>
      <c r="F48" s="37" t="s">
        <v>150</v>
      </c>
      <c r="G48" s="37" t="s">
        <v>225</v>
      </c>
      <c r="H48" s="95" t="s">
        <v>27</v>
      </c>
      <c r="I48" s="168"/>
      <c r="J48" s="249"/>
      <c r="K48" t="s">
        <v>224</v>
      </c>
      <c r="L48" t="s">
        <v>150</v>
      </c>
    </row>
    <row r="49" spans="1:12" ht="27.75" thickBot="1">
      <c r="A49" s="151">
        <f t="shared" si="0"/>
        <v>47</v>
      </c>
      <c r="B49" s="255"/>
      <c r="C49" s="35" t="s">
        <v>226</v>
      </c>
      <c r="D49" s="255"/>
      <c r="E49" s="36" t="s">
        <v>227</v>
      </c>
      <c r="F49" s="37" t="s">
        <v>150</v>
      </c>
      <c r="G49" s="37" t="s">
        <v>228</v>
      </c>
      <c r="H49" s="95" t="s">
        <v>27</v>
      </c>
      <c r="I49" s="168"/>
      <c r="J49" s="249"/>
      <c r="K49" t="s">
        <v>227</v>
      </c>
      <c r="L49" t="s">
        <v>150</v>
      </c>
    </row>
    <row r="50" spans="1:12" ht="16.5" thickBot="1">
      <c r="A50" s="151">
        <f t="shared" si="0"/>
        <v>48</v>
      </c>
      <c r="B50" s="255"/>
      <c r="C50" s="35" t="s">
        <v>229</v>
      </c>
      <c r="D50" s="255"/>
      <c r="E50" s="36" t="s">
        <v>230</v>
      </c>
      <c r="F50" s="37" t="s">
        <v>150</v>
      </c>
      <c r="G50" s="37" t="s">
        <v>31</v>
      </c>
      <c r="H50" s="95" t="s">
        <v>27</v>
      </c>
      <c r="I50" s="168"/>
      <c r="J50" s="249"/>
      <c r="K50" t="s">
        <v>230</v>
      </c>
      <c r="L50" t="s">
        <v>150</v>
      </c>
    </row>
    <row r="51" spans="1:12" ht="27.75" thickBot="1">
      <c r="A51" s="151">
        <f t="shared" si="0"/>
        <v>49</v>
      </c>
      <c r="B51" s="256"/>
      <c r="C51" s="169" t="s">
        <v>231</v>
      </c>
      <c r="D51" s="258"/>
      <c r="E51" s="115" t="s">
        <v>232</v>
      </c>
      <c r="F51" s="84" t="s">
        <v>150</v>
      </c>
      <c r="G51" s="48" t="s">
        <v>35</v>
      </c>
      <c r="H51" s="119" t="s">
        <v>27</v>
      </c>
      <c r="I51" s="180" t="s">
        <v>233</v>
      </c>
      <c r="J51" s="247"/>
      <c r="K51" t="s">
        <v>232</v>
      </c>
      <c r="L51" t="s">
        <v>150</v>
      </c>
    </row>
    <row r="52" spans="1:12" ht="27.75" thickBot="1">
      <c r="A52" s="151">
        <f t="shared" si="0"/>
        <v>50</v>
      </c>
      <c r="B52" s="254" t="s">
        <v>234</v>
      </c>
      <c r="C52" s="171" t="s">
        <v>235</v>
      </c>
      <c r="D52" s="259" t="s">
        <v>236</v>
      </c>
      <c r="E52" s="112" t="s">
        <v>107</v>
      </c>
      <c r="F52" s="166" t="s">
        <v>157</v>
      </c>
      <c r="G52" s="68" t="s">
        <v>41</v>
      </c>
      <c r="H52" s="113">
        <v>0</v>
      </c>
      <c r="I52" s="179" t="s">
        <v>237</v>
      </c>
      <c r="J52" s="246" t="s">
        <v>236</v>
      </c>
      <c r="K52" t="s">
        <v>107</v>
      </c>
      <c r="L52" t="s">
        <v>356</v>
      </c>
    </row>
    <row r="53" spans="1:12" ht="27.75" thickBot="1">
      <c r="A53" s="151">
        <f t="shared" si="0"/>
        <v>51</v>
      </c>
      <c r="B53" s="258"/>
      <c r="C53" s="145" t="s">
        <v>110</v>
      </c>
      <c r="D53" s="258"/>
      <c r="E53" s="83" t="s">
        <v>112</v>
      </c>
      <c r="F53" s="48" t="s">
        <v>157</v>
      </c>
      <c r="G53" s="48" t="s">
        <v>41</v>
      </c>
      <c r="H53" s="116">
        <v>0</v>
      </c>
      <c r="I53" s="170" t="s">
        <v>238</v>
      </c>
      <c r="J53" s="247"/>
      <c r="K53" t="s">
        <v>112</v>
      </c>
      <c r="L53" t="s">
        <v>356</v>
      </c>
    </row>
    <row r="54" spans="1:12" ht="16.5" thickBot="1">
      <c r="A54" s="151">
        <f t="shared" si="0"/>
        <v>52</v>
      </c>
      <c r="B54" s="254" t="s">
        <v>239</v>
      </c>
      <c r="C54" s="141" t="s">
        <v>240</v>
      </c>
      <c r="D54" s="259" t="s">
        <v>241</v>
      </c>
      <c r="E54" s="94" t="s">
        <v>242</v>
      </c>
      <c r="F54" s="68" t="s">
        <v>150</v>
      </c>
      <c r="G54" s="68" t="s">
        <v>31</v>
      </c>
      <c r="H54" s="118" t="s">
        <v>27</v>
      </c>
      <c r="I54" s="167"/>
      <c r="J54" s="246" t="s">
        <v>241</v>
      </c>
      <c r="K54" t="s">
        <v>242</v>
      </c>
      <c r="L54" t="s">
        <v>150</v>
      </c>
    </row>
    <row r="55" spans="1:12" ht="16.5" thickBot="1">
      <c r="A55" s="151">
        <f t="shared" si="0"/>
        <v>53</v>
      </c>
      <c r="B55" s="255"/>
      <c r="C55" s="35" t="s">
        <v>243</v>
      </c>
      <c r="D55" s="255"/>
      <c r="E55" s="36" t="s">
        <v>244</v>
      </c>
      <c r="F55" s="37" t="s">
        <v>150</v>
      </c>
      <c r="G55" s="37" t="s">
        <v>31</v>
      </c>
      <c r="H55" s="95" t="s">
        <v>27</v>
      </c>
      <c r="I55" s="168"/>
      <c r="J55" s="249"/>
      <c r="K55" t="s">
        <v>244</v>
      </c>
      <c r="L55" t="s">
        <v>150</v>
      </c>
    </row>
    <row r="56" spans="1:12" ht="27.75" thickBot="1">
      <c r="A56" s="151">
        <f t="shared" si="0"/>
        <v>54</v>
      </c>
      <c r="B56" s="255"/>
      <c r="C56" s="35" t="s">
        <v>245</v>
      </c>
      <c r="D56" s="255"/>
      <c r="E56" s="36" t="s">
        <v>246</v>
      </c>
      <c r="F56" s="37" t="s">
        <v>150</v>
      </c>
      <c r="G56" s="37" t="s">
        <v>35</v>
      </c>
      <c r="H56" s="95" t="s">
        <v>27</v>
      </c>
      <c r="I56" s="168"/>
      <c r="J56" s="249"/>
      <c r="K56" t="s">
        <v>246</v>
      </c>
      <c r="L56" t="s">
        <v>150</v>
      </c>
    </row>
    <row r="57" spans="1:12" ht="16.5" thickBot="1">
      <c r="A57" s="151">
        <f t="shared" si="0"/>
        <v>55</v>
      </c>
      <c r="B57" s="255"/>
      <c r="C57" s="35" t="s">
        <v>247</v>
      </c>
      <c r="D57" s="255"/>
      <c r="E57" s="36" t="s">
        <v>248</v>
      </c>
      <c r="F57" s="37" t="s">
        <v>150</v>
      </c>
      <c r="G57" s="37" t="s">
        <v>35</v>
      </c>
      <c r="H57" s="95" t="s">
        <v>27</v>
      </c>
      <c r="I57" s="168"/>
      <c r="J57" s="249"/>
      <c r="K57" t="s">
        <v>248</v>
      </c>
      <c r="L57" t="s">
        <v>150</v>
      </c>
    </row>
    <row r="58" spans="1:12" ht="16.5" thickBot="1">
      <c r="A58" s="151">
        <f t="shared" si="0"/>
        <v>56</v>
      </c>
      <c r="B58" s="255"/>
      <c r="C58" s="35" t="s">
        <v>249</v>
      </c>
      <c r="D58" s="255"/>
      <c r="E58" s="36" t="s">
        <v>250</v>
      </c>
      <c r="F58" s="37" t="s">
        <v>150</v>
      </c>
      <c r="G58" s="37" t="s">
        <v>175</v>
      </c>
      <c r="H58" s="95" t="s">
        <v>27</v>
      </c>
      <c r="I58" s="168"/>
      <c r="J58" s="249"/>
      <c r="K58" t="s">
        <v>250</v>
      </c>
      <c r="L58" t="s">
        <v>150</v>
      </c>
    </row>
    <row r="59" spans="1:12" ht="27.75" thickBot="1">
      <c r="A59" s="151">
        <f t="shared" si="0"/>
        <v>57</v>
      </c>
      <c r="B59" s="258"/>
      <c r="C59" s="169" t="s">
        <v>251</v>
      </c>
      <c r="D59" s="258"/>
      <c r="E59" s="115" t="s">
        <v>252</v>
      </c>
      <c r="F59" s="84" t="s">
        <v>150</v>
      </c>
      <c r="G59" s="48" t="s">
        <v>14</v>
      </c>
      <c r="H59" s="119" t="s">
        <v>27</v>
      </c>
      <c r="I59" s="173"/>
      <c r="J59" s="247"/>
      <c r="K59" t="s">
        <v>252</v>
      </c>
      <c r="L59" t="s">
        <v>150</v>
      </c>
    </row>
    <row r="60" spans="1:12" ht="16.5" thickBot="1">
      <c r="A60" s="151">
        <f t="shared" si="0"/>
        <v>58</v>
      </c>
      <c r="B60" s="260" t="s">
        <v>253</v>
      </c>
      <c r="C60" s="171" t="s">
        <v>85</v>
      </c>
      <c r="D60" s="261" t="s">
        <v>254</v>
      </c>
      <c r="E60" s="112" t="s">
        <v>255</v>
      </c>
      <c r="F60" s="166" t="s">
        <v>150</v>
      </c>
      <c r="G60" s="68" t="s">
        <v>31</v>
      </c>
      <c r="H60" s="113" t="s">
        <v>27</v>
      </c>
      <c r="I60" s="179"/>
      <c r="J60" s="250" t="s">
        <v>254</v>
      </c>
      <c r="K60" t="s">
        <v>255</v>
      </c>
      <c r="L60" t="s">
        <v>150</v>
      </c>
    </row>
    <row r="61" spans="1:12" ht="16.5" thickBot="1">
      <c r="A61" s="151">
        <f t="shared" si="0"/>
        <v>59</v>
      </c>
      <c r="B61" s="256"/>
      <c r="C61" s="169" t="s">
        <v>89</v>
      </c>
      <c r="D61" s="258"/>
      <c r="E61" s="115" t="s">
        <v>256</v>
      </c>
      <c r="F61" s="84" t="s">
        <v>150</v>
      </c>
      <c r="G61" s="84" t="s">
        <v>35</v>
      </c>
      <c r="H61" s="119" t="s">
        <v>27</v>
      </c>
      <c r="I61" s="173"/>
      <c r="J61" s="247"/>
      <c r="K61" t="s">
        <v>256</v>
      </c>
      <c r="L61" t="s">
        <v>150</v>
      </c>
    </row>
    <row r="62" spans="1:12" ht="16.5" thickBot="1">
      <c r="A62" s="151">
        <f t="shared" si="0"/>
        <v>60</v>
      </c>
      <c r="B62" s="254" t="s">
        <v>93</v>
      </c>
      <c r="C62" s="171" t="s">
        <v>94</v>
      </c>
      <c r="D62" s="259" t="s">
        <v>257</v>
      </c>
      <c r="E62" s="112" t="s">
        <v>258</v>
      </c>
      <c r="F62" s="166" t="s">
        <v>150</v>
      </c>
      <c r="G62" s="166" t="s">
        <v>100</v>
      </c>
      <c r="H62" s="113" t="s">
        <v>27</v>
      </c>
      <c r="I62" s="179"/>
      <c r="J62" s="246" t="s">
        <v>257</v>
      </c>
      <c r="K62" t="s">
        <v>258</v>
      </c>
      <c r="L62" t="s">
        <v>150</v>
      </c>
    </row>
    <row r="63" spans="1:12" ht="16.5" thickBot="1">
      <c r="A63" s="151">
        <f t="shared" si="0"/>
        <v>61</v>
      </c>
      <c r="B63" s="256"/>
      <c r="C63" s="169" t="s">
        <v>259</v>
      </c>
      <c r="D63" s="258"/>
      <c r="E63" s="115" t="s">
        <v>260</v>
      </c>
      <c r="F63" s="84" t="s">
        <v>150</v>
      </c>
      <c r="G63" s="84" t="s">
        <v>35</v>
      </c>
      <c r="H63" s="119" t="s">
        <v>27</v>
      </c>
      <c r="I63" s="173"/>
      <c r="J63" s="247"/>
      <c r="K63" t="s">
        <v>260</v>
      </c>
      <c r="L63" t="s">
        <v>150</v>
      </c>
    </row>
    <row r="64" spans="1:12" ht="27.75" thickBot="1">
      <c r="A64" s="151">
        <f t="shared" si="0"/>
        <v>62</v>
      </c>
      <c r="B64" s="254" t="s">
        <v>261</v>
      </c>
      <c r="C64" s="13" t="s">
        <v>262</v>
      </c>
      <c r="D64" s="257" t="s">
        <v>263</v>
      </c>
      <c r="E64" s="112" t="s">
        <v>264</v>
      </c>
      <c r="F64" s="166" t="s">
        <v>157</v>
      </c>
      <c r="G64" s="166" t="s">
        <v>41</v>
      </c>
      <c r="H64" s="113" t="s">
        <v>27</v>
      </c>
      <c r="I64" s="179"/>
      <c r="J64" s="251" t="s">
        <v>263</v>
      </c>
      <c r="K64" t="s">
        <v>264</v>
      </c>
      <c r="L64" t="s">
        <v>356</v>
      </c>
    </row>
    <row r="65" spans="1:12" ht="16.5" thickBot="1">
      <c r="A65" s="151">
        <f t="shared" si="0"/>
        <v>63</v>
      </c>
      <c r="B65" s="255"/>
      <c r="C65" s="24" t="s">
        <v>265</v>
      </c>
      <c r="D65" s="220"/>
      <c r="E65" s="36" t="s">
        <v>266</v>
      </c>
      <c r="F65" s="37" t="s">
        <v>150</v>
      </c>
      <c r="G65" s="37" t="s">
        <v>267</v>
      </c>
      <c r="H65" s="95" t="s">
        <v>27</v>
      </c>
      <c r="I65" s="168"/>
      <c r="J65" s="252"/>
      <c r="K65" t="s">
        <v>266</v>
      </c>
      <c r="L65" t="s">
        <v>150</v>
      </c>
    </row>
    <row r="66" spans="1:12" ht="27.75" thickBot="1">
      <c r="A66" s="151">
        <f t="shared" si="0"/>
        <v>64</v>
      </c>
      <c r="B66" s="255"/>
      <c r="C66" s="24" t="s">
        <v>268</v>
      </c>
      <c r="D66" s="220"/>
      <c r="E66" s="36" t="s">
        <v>269</v>
      </c>
      <c r="F66" s="37" t="s">
        <v>150</v>
      </c>
      <c r="G66" s="37" t="s">
        <v>31</v>
      </c>
      <c r="H66" s="95" t="s">
        <v>27</v>
      </c>
      <c r="I66" s="168"/>
      <c r="J66" s="252"/>
      <c r="K66" t="s">
        <v>269</v>
      </c>
      <c r="L66" t="s">
        <v>150</v>
      </c>
    </row>
    <row r="67" spans="1:12" ht="16.5" thickBot="1">
      <c r="A67" s="151">
        <f t="shared" si="0"/>
        <v>65</v>
      </c>
      <c r="B67" s="256"/>
      <c r="C67" s="181" t="s">
        <v>270</v>
      </c>
      <c r="D67" s="221"/>
      <c r="E67" s="115" t="s">
        <v>271</v>
      </c>
      <c r="F67" s="48" t="s">
        <v>150</v>
      </c>
      <c r="G67" s="48" t="s">
        <v>35</v>
      </c>
      <c r="H67" s="119" t="s">
        <v>27</v>
      </c>
      <c r="I67" s="173"/>
      <c r="J67" s="253"/>
      <c r="K67" t="s">
        <v>271</v>
      </c>
      <c r="L67" t="s">
        <v>150</v>
      </c>
    </row>
    <row r="68" spans="1:12" ht="16.5" thickBot="1">
      <c r="A68" s="151">
        <f t="shared" si="0"/>
        <v>66</v>
      </c>
      <c r="B68" s="254" t="s">
        <v>272</v>
      </c>
      <c r="C68" s="171" t="s">
        <v>114</v>
      </c>
      <c r="D68" s="259" t="s">
        <v>273</v>
      </c>
      <c r="E68" s="112" t="s">
        <v>274</v>
      </c>
      <c r="F68" s="68" t="s">
        <v>150</v>
      </c>
      <c r="G68" s="68" t="s">
        <v>31</v>
      </c>
      <c r="H68" s="113" t="s">
        <v>27</v>
      </c>
      <c r="I68" s="179"/>
      <c r="J68" s="246" t="s">
        <v>273</v>
      </c>
      <c r="K68" t="s">
        <v>274</v>
      </c>
      <c r="L68" t="s">
        <v>150</v>
      </c>
    </row>
    <row r="69" spans="1:12" ht="27.75" thickBot="1">
      <c r="A69" s="151">
        <f t="shared" si="0"/>
        <v>67</v>
      </c>
      <c r="B69" s="258"/>
      <c r="C69" s="169" t="s">
        <v>275</v>
      </c>
      <c r="D69" s="258"/>
      <c r="E69" s="115" t="s">
        <v>276</v>
      </c>
      <c r="F69" s="84" t="s">
        <v>150</v>
      </c>
      <c r="G69" s="84" t="s">
        <v>14</v>
      </c>
      <c r="H69" s="119" t="s">
        <v>27</v>
      </c>
      <c r="I69" s="173"/>
      <c r="J69" s="247"/>
      <c r="K69" t="s">
        <v>276</v>
      </c>
      <c r="L69" t="s">
        <v>150</v>
      </c>
    </row>
    <row r="70" spans="1:12" ht="41.25" thickBot="1">
      <c r="A70" s="151">
        <f t="shared" si="0"/>
        <v>68</v>
      </c>
      <c r="B70" s="182" t="s">
        <v>277</v>
      </c>
      <c r="C70" s="127" t="s">
        <v>278</v>
      </c>
      <c r="D70" s="183" t="s">
        <v>279</v>
      </c>
      <c r="E70" s="184" t="s">
        <v>280</v>
      </c>
      <c r="F70" s="43" t="s">
        <v>150</v>
      </c>
      <c r="G70" s="124" t="s">
        <v>31</v>
      </c>
      <c r="H70" s="177" t="s">
        <v>27</v>
      </c>
      <c r="I70" s="185"/>
      <c r="J70" s="206" t="s">
        <v>279</v>
      </c>
      <c r="K70" t="s">
        <v>280</v>
      </c>
      <c r="L70" t="s">
        <v>150</v>
      </c>
    </row>
    <row r="71" spans="1:12" ht="16.5" thickBot="1">
      <c r="B71" s="186"/>
      <c r="C71" s="186"/>
      <c r="D71" s="186"/>
      <c r="E71" s="186"/>
      <c r="F71" s="186"/>
      <c r="H71" s="186"/>
    </row>
    <row r="72" spans="1:12" ht="15.75" customHeight="1" thickBot="1">
      <c r="B72" s="214" t="s">
        <v>362</v>
      </c>
      <c r="C72" s="215"/>
      <c r="D72" s="215"/>
      <c r="E72" s="215"/>
      <c r="F72" s="215"/>
      <c r="G72" s="215"/>
      <c r="H72" s="215"/>
      <c r="I72" s="216"/>
    </row>
    <row r="73" spans="1:12" ht="15" customHeight="1" thickBot="1">
      <c r="B73" s="208"/>
      <c r="C73" s="209" t="s">
        <v>363</v>
      </c>
      <c r="D73" s="210"/>
      <c r="E73" s="209" t="s">
        <v>360</v>
      </c>
      <c r="F73" s="210"/>
      <c r="G73" s="210"/>
      <c r="H73" s="209" t="s">
        <v>361</v>
      </c>
      <c r="I73" s="209" t="s">
        <v>358</v>
      </c>
    </row>
    <row r="74" spans="1:12" ht="15" customHeight="1" thickBot="1">
      <c r="B74" s="211"/>
      <c r="C74" s="212" t="s">
        <v>364</v>
      </c>
      <c r="D74" s="213"/>
      <c r="E74" s="212" t="s">
        <v>366</v>
      </c>
      <c r="F74" s="213"/>
      <c r="G74" s="213"/>
      <c r="H74" s="212" t="s">
        <v>365</v>
      </c>
      <c r="I74" s="212" t="s">
        <v>369</v>
      </c>
    </row>
    <row r="75" spans="1:12" ht="15" customHeight="1" thickBot="1">
      <c r="B75" s="211"/>
      <c r="C75" s="213"/>
      <c r="D75" s="213"/>
      <c r="E75" s="212" t="s">
        <v>367</v>
      </c>
      <c r="F75" s="213"/>
      <c r="G75" s="213"/>
      <c r="H75" s="212" t="s">
        <v>52</v>
      </c>
      <c r="I75" s="213"/>
    </row>
    <row r="76" spans="1:12" ht="15" customHeight="1" thickBot="1">
      <c r="B76" s="211"/>
      <c r="C76" s="213"/>
      <c r="D76" s="213"/>
      <c r="E76" s="212"/>
      <c r="F76" s="213"/>
      <c r="G76" s="213"/>
      <c r="H76" s="212"/>
      <c r="I76" s="212"/>
    </row>
  </sheetData>
  <mergeCells count="34">
    <mergeCell ref="B62:B63"/>
    <mergeCell ref="D62:D63"/>
    <mergeCell ref="B1:C1"/>
    <mergeCell ref="D1:H1"/>
    <mergeCell ref="B5:B20"/>
    <mergeCell ref="D5:D20"/>
    <mergeCell ref="B21:B34"/>
    <mergeCell ref="D21:D34"/>
    <mergeCell ref="B54:B59"/>
    <mergeCell ref="B60:B61"/>
    <mergeCell ref="D35:D40"/>
    <mergeCell ref="D54:D59"/>
    <mergeCell ref="D60:D61"/>
    <mergeCell ref="B35:B40"/>
    <mergeCell ref="B42:B51"/>
    <mergeCell ref="D42:D51"/>
    <mergeCell ref="B52:B53"/>
    <mergeCell ref="D52:D53"/>
    <mergeCell ref="J1:L1"/>
    <mergeCell ref="B72:I72"/>
    <mergeCell ref="J68:J69"/>
    <mergeCell ref="J5:J20"/>
    <mergeCell ref="J21:J34"/>
    <mergeCell ref="J35:J40"/>
    <mergeCell ref="J42:J51"/>
    <mergeCell ref="J52:J53"/>
    <mergeCell ref="J54:J59"/>
    <mergeCell ref="J60:J61"/>
    <mergeCell ref="J62:J63"/>
    <mergeCell ref="J64:J67"/>
    <mergeCell ref="B64:B67"/>
    <mergeCell ref="D64:D67"/>
    <mergeCell ref="B68:B69"/>
    <mergeCell ref="D68:D69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I18" sqref="I18"/>
    </sheetView>
  </sheetViews>
  <sheetFormatPr defaultColWidth="11.25" defaultRowHeight="15" customHeight="1"/>
  <cols>
    <col min="1" max="1" width="2.625" customWidth="1"/>
    <col min="2" max="2" width="11.875" customWidth="1"/>
    <col min="3" max="3" width="14.5" customWidth="1"/>
    <col min="4" max="4" width="11.25" customWidth="1"/>
    <col min="5" max="5" width="13.875" customWidth="1"/>
    <col min="6" max="6" width="8.25" bestFit="1" customWidth="1"/>
    <col min="7" max="7" width="13.625" bestFit="1" customWidth="1"/>
    <col min="8" max="8" width="6.625" customWidth="1"/>
    <col min="9" max="9" width="19.375" customWidth="1"/>
    <col min="10" max="26" width="6.75" customWidth="1"/>
  </cols>
  <sheetData>
    <row r="1" spans="1:10" ht="15.75">
      <c r="A1" s="149"/>
      <c r="B1" s="262" t="s">
        <v>0</v>
      </c>
      <c r="C1" s="269"/>
      <c r="D1" s="264" t="s">
        <v>143</v>
      </c>
      <c r="E1" s="265"/>
      <c r="F1" s="265"/>
      <c r="G1" s="265"/>
      <c r="H1" s="269"/>
      <c r="I1" s="187" t="s">
        <v>144</v>
      </c>
      <c r="J1" s="188"/>
    </row>
    <row r="2" spans="1:10" ht="27">
      <c r="A2" s="151" t="s">
        <v>3</v>
      </c>
      <c r="B2" s="152" t="s">
        <v>4</v>
      </c>
      <c r="C2" s="153" t="s">
        <v>145</v>
      </c>
      <c r="D2" s="154" t="s">
        <v>146</v>
      </c>
      <c r="E2" s="155" t="s">
        <v>147</v>
      </c>
      <c r="F2" s="155" t="s">
        <v>6</v>
      </c>
      <c r="G2" s="155" t="s">
        <v>148</v>
      </c>
      <c r="H2" s="156" t="s">
        <v>8</v>
      </c>
      <c r="I2" s="189"/>
    </row>
    <row r="3" spans="1:10" ht="54">
      <c r="A3" s="151">
        <f t="shared" ref="A3:A10" si="0">ROW()-2</f>
        <v>1</v>
      </c>
      <c r="B3" s="158" t="s">
        <v>281</v>
      </c>
      <c r="C3" s="54" t="s">
        <v>282</v>
      </c>
      <c r="D3" s="91" t="s">
        <v>283</v>
      </c>
      <c r="E3" s="92"/>
      <c r="F3" s="161" t="s">
        <v>157</v>
      </c>
      <c r="G3" s="73" t="s">
        <v>41</v>
      </c>
      <c r="H3" s="190"/>
      <c r="I3" s="191"/>
    </row>
    <row r="4" spans="1:10" ht="15.75">
      <c r="A4" s="151">
        <f t="shared" si="0"/>
        <v>2</v>
      </c>
      <c r="B4" s="260" t="s">
        <v>284</v>
      </c>
      <c r="C4" s="192" t="s">
        <v>285</v>
      </c>
      <c r="D4" s="267" t="s">
        <v>286</v>
      </c>
      <c r="E4" s="94" t="s">
        <v>287</v>
      </c>
      <c r="F4" s="166" t="s">
        <v>150</v>
      </c>
      <c r="G4" s="68" t="s">
        <v>288</v>
      </c>
      <c r="H4" s="193"/>
      <c r="I4" s="194" t="s">
        <v>233</v>
      </c>
    </row>
    <row r="5" spans="1:10" ht="15.75">
      <c r="A5" s="151">
        <f t="shared" si="0"/>
        <v>3</v>
      </c>
      <c r="B5" s="255"/>
      <c r="C5" s="195" t="s">
        <v>289</v>
      </c>
      <c r="D5" s="255"/>
      <c r="E5" s="36" t="s">
        <v>290</v>
      </c>
      <c r="F5" s="37" t="s">
        <v>150</v>
      </c>
      <c r="G5" s="37" t="s">
        <v>288</v>
      </c>
      <c r="H5" s="196"/>
      <c r="I5" s="197" t="s">
        <v>233</v>
      </c>
    </row>
    <row r="6" spans="1:10" ht="27">
      <c r="A6" s="151">
        <f t="shared" si="0"/>
        <v>4</v>
      </c>
      <c r="B6" s="270"/>
      <c r="C6" s="198"/>
      <c r="D6" s="258"/>
      <c r="E6" s="83" t="s">
        <v>291</v>
      </c>
      <c r="F6" s="84" t="s">
        <v>157</v>
      </c>
      <c r="G6" s="84" t="s">
        <v>41</v>
      </c>
      <c r="H6" s="199" t="s">
        <v>292</v>
      </c>
      <c r="I6" s="200" t="s">
        <v>233</v>
      </c>
    </row>
    <row r="7" spans="1:10" ht="15.75">
      <c r="A7" s="151">
        <f t="shared" si="0"/>
        <v>5</v>
      </c>
      <c r="B7" s="254" t="s">
        <v>293</v>
      </c>
      <c r="C7" s="192" t="s">
        <v>294</v>
      </c>
      <c r="D7" s="267" t="s">
        <v>295</v>
      </c>
      <c r="E7" s="94" t="s">
        <v>296</v>
      </c>
      <c r="F7" s="166" t="s">
        <v>157</v>
      </c>
      <c r="G7" s="118" t="s">
        <v>41</v>
      </c>
      <c r="H7" s="193" t="s">
        <v>292</v>
      </c>
      <c r="I7" s="194" t="s">
        <v>233</v>
      </c>
    </row>
    <row r="8" spans="1:10" ht="15.75">
      <c r="A8" s="151">
        <f t="shared" si="0"/>
        <v>6</v>
      </c>
      <c r="B8" s="270"/>
      <c r="C8" s="195" t="s">
        <v>297</v>
      </c>
      <c r="D8" s="258"/>
      <c r="E8" s="36" t="s">
        <v>298</v>
      </c>
      <c r="F8" s="37" t="s">
        <v>157</v>
      </c>
      <c r="G8" s="116" t="s">
        <v>41</v>
      </c>
      <c r="H8" s="199" t="s">
        <v>292</v>
      </c>
      <c r="I8" s="200" t="s">
        <v>233</v>
      </c>
    </row>
    <row r="9" spans="1:10" ht="15.75">
      <c r="A9" s="151">
        <f t="shared" si="0"/>
        <v>7</v>
      </c>
      <c r="B9" s="254" t="s">
        <v>299</v>
      </c>
      <c r="C9" s="201" t="s">
        <v>300</v>
      </c>
      <c r="D9" s="267" t="s">
        <v>301</v>
      </c>
      <c r="E9" s="112" t="s">
        <v>302</v>
      </c>
      <c r="F9" s="68" t="s">
        <v>150</v>
      </c>
      <c r="G9" s="166" t="s">
        <v>303</v>
      </c>
      <c r="H9" s="193"/>
      <c r="I9" s="268" t="s">
        <v>304</v>
      </c>
    </row>
    <row r="10" spans="1:10" ht="27">
      <c r="A10" s="151">
        <f t="shared" si="0"/>
        <v>8</v>
      </c>
      <c r="B10" s="270"/>
      <c r="C10" s="198" t="s">
        <v>305</v>
      </c>
      <c r="D10" s="258"/>
      <c r="E10" s="36" t="s">
        <v>306</v>
      </c>
      <c r="F10" s="37" t="s">
        <v>35</v>
      </c>
      <c r="G10" s="37" t="s">
        <v>35</v>
      </c>
      <c r="H10" s="199"/>
      <c r="I10" s="258"/>
    </row>
    <row r="11" spans="1:10" ht="15.75">
      <c r="B11" s="186"/>
      <c r="C11" s="186"/>
      <c r="D11" s="186"/>
      <c r="E11" s="186"/>
      <c r="F11" s="186"/>
      <c r="G11" s="186"/>
      <c r="H11" s="186"/>
      <c r="I11" s="186"/>
    </row>
    <row r="12" spans="1:10" ht="15.75"/>
    <row r="13" spans="1:10" ht="15.75"/>
    <row r="14" spans="1:10" ht="15.75"/>
    <row r="15" spans="1:10" ht="16.5" thickBot="1"/>
    <row r="16" spans="1:10" ht="16.5" thickBot="1">
      <c r="B16" s="214" t="s">
        <v>362</v>
      </c>
      <c r="C16" s="215"/>
      <c r="D16" s="215"/>
      <c r="E16" s="215"/>
      <c r="F16" s="215"/>
      <c r="G16" s="215"/>
      <c r="H16" s="215"/>
      <c r="I16" s="216"/>
    </row>
    <row r="17" spans="2:9" ht="32.25" thickBot="1">
      <c r="B17" s="208"/>
      <c r="C17" s="209" t="s">
        <v>363</v>
      </c>
      <c r="D17" s="210"/>
      <c r="E17" s="209" t="s">
        <v>360</v>
      </c>
      <c r="F17" s="210"/>
      <c r="G17" s="210"/>
      <c r="H17" s="209" t="s">
        <v>361</v>
      </c>
      <c r="I17" s="209" t="s">
        <v>358</v>
      </c>
    </row>
    <row r="18" spans="2:9" ht="45.75" thickBot="1">
      <c r="B18" s="211"/>
      <c r="C18" s="212" t="s">
        <v>364</v>
      </c>
      <c r="D18" s="213"/>
      <c r="E18" s="212" t="s">
        <v>366</v>
      </c>
      <c r="F18" s="213"/>
      <c r="G18" s="213"/>
      <c r="H18" s="212" t="s">
        <v>368</v>
      </c>
      <c r="I18" s="212" t="s">
        <v>369</v>
      </c>
    </row>
    <row r="19" spans="2:9" ht="16.5" thickBot="1">
      <c r="B19" s="211"/>
      <c r="C19" s="213"/>
      <c r="D19" s="213"/>
      <c r="E19" s="212"/>
      <c r="F19" s="213"/>
      <c r="G19" s="213"/>
      <c r="H19" s="212"/>
      <c r="I19" s="213"/>
    </row>
    <row r="20" spans="2:9" ht="16.5" thickBot="1">
      <c r="B20" s="211"/>
      <c r="C20" s="213"/>
      <c r="D20" s="213"/>
      <c r="E20" s="212"/>
      <c r="F20" s="213"/>
      <c r="G20" s="213"/>
      <c r="H20" s="212"/>
      <c r="I20" s="212"/>
    </row>
  </sheetData>
  <mergeCells count="10">
    <mergeCell ref="B16:I16"/>
    <mergeCell ref="D9:D10"/>
    <mergeCell ref="I9:I10"/>
    <mergeCell ref="B1:C1"/>
    <mergeCell ref="D1:H1"/>
    <mergeCell ref="B4:B6"/>
    <mergeCell ref="D4:D6"/>
    <mergeCell ref="B7:B8"/>
    <mergeCell ref="D7:D8"/>
    <mergeCell ref="B9:B10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OpenSearch 資料欄位</vt:lpstr>
      <vt:lpstr>dynamoDB資料欄位(Orders)</vt:lpstr>
      <vt:lpstr>dynamoDB資料欄位(User)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王秋豪</dc:creator>
  <cp:lastModifiedBy>聯想感1</cp:lastModifiedBy>
  <dcterms:created xsi:type="dcterms:W3CDTF">2025-03-26T09:41:17Z</dcterms:created>
  <dcterms:modified xsi:type="dcterms:W3CDTF">2026-04-24T09:10:39Z</dcterms:modified>
</cp:coreProperties>
</file>